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チカラグループ解析用\2026年4月分集計\ユーザー数状況調査_2026年3月\"/>
    </mc:Choice>
  </mc:AlternateContent>
  <bookViews>
    <workbookView xWindow="0" yWindow="0" windowWidth="28800" windowHeight="15600"/>
  </bookViews>
  <sheets>
    <sheet name="登録者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17" i="1" l="1"/>
  <c r="CD17" i="1" s="1"/>
  <c r="BQ16" i="1"/>
  <c r="BQ3" i="1"/>
  <c r="CD3" i="1" l="1"/>
  <c r="CD16" i="1" l="1"/>
  <c r="BC18" i="1"/>
  <c r="BD18" i="1" l="1"/>
  <c r="BB18" i="1" l="1"/>
  <c r="BA18" i="1" l="1"/>
  <c r="AZ18" i="1" l="1"/>
  <c r="AY18" i="1" l="1"/>
  <c r="AX18" i="1" l="1"/>
  <c r="AW18" i="1" l="1"/>
  <c r="AV18" i="1" l="1"/>
  <c r="AU18" i="1" l="1"/>
  <c r="AT18" i="1" l="1"/>
  <c r="CC18" i="1" l="1"/>
  <c r="AS18" i="1"/>
  <c r="AR18" i="1" l="1"/>
  <c r="AQ18" i="1"/>
  <c r="AP18" i="1" l="1"/>
  <c r="BQ13" i="1" l="1"/>
  <c r="BQ14" i="1"/>
  <c r="AO18" i="1"/>
  <c r="AN18" i="1"/>
  <c r="AM18" i="1" l="1"/>
  <c r="AL18" i="1" l="1"/>
  <c r="AK18" i="1" l="1"/>
  <c r="AJ18" i="1" l="1"/>
  <c r="AI18" i="1" l="1"/>
  <c r="BQ4" i="1" l="1"/>
  <c r="BQ5" i="1"/>
  <c r="BQ6" i="1"/>
  <c r="BQ7" i="1"/>
  <c r="BQ8" i="1"/>
  <c r="BQ9" i="1"/>
  <c r="BQ10" i="1"/>
  <c r="BQ11" i="1"/>
  <c r="BQ12" i="1"/>
  <c r="BQ15" i="1"/>
  <c r="CD15" i="1" s="1"/>
  <c r="AH18" i="1"/>
  <c r="AG18" i="1"/>
  <c r="AF18" i="1"/>
  <c r="AE18" i="1"/>
  <c r="AD18" i="1"/>
  <c r="AC18" i="1"/>
  <c r="AB18" i="1"/>
  <c r="AA18" i="1"/>
  <c r="Z18" i="1"/>
  <c r="Y18" i="1"/>
  <c r="X18" i="1"/>
  <c r="W18" i="1"/>
  <c r="BQ18" i="1" l="1"/>
  <c r="CD4" i="1"/>
  <c r="CD6" i="1"/>
  <c r="CD8" i="1"/>
  <c r="CD9" i="1"/>
  <c r="CD12" i="1"/>
  <c r="V18" i="1"/>
  <c r="CD13" i="1"/>
  <c r="CD5" i="1"/>
  <c r="CD7" i="1"/>
  <c r="CD10" i="1"/>
  <c r="CD11" i="1"/>
  <c r="CD14" i="1"/>
  <c r="U18" i="1"/>
  <c r="T18" i="1"/>
  <c r="CD18" i="1" l="1"/>
  <c r="BQ20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BR20" i="1" l="1"/>
  <c r="BS20" i="1" l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</calcChain>
</file>

<file path=xl/sharedStrings.xml><?xml version="1.0" encoding="utf-8"?>
<sst xmlns="http://schemas.openxmlformats.org/spreadsheetml/2006/main" count="37" uniqueCount="22">
  <si>
    <t>店名</t>
    <rPh sb="0" eb="2">
      <t>テンメイ</t>
    </rPh>
    <phoneticPr fontId="1"/>
  </si>
  <si>
    <t>■チカラグループアプリ　ユーザー登録集計</t>
    <rPh sb="16" eb="18">
      <t>トウロク</t>
    </rPh>
    <rPh sb="18" eb="20">
      <t>シュウケイ</t>
    </rPh>
    <phoneticPr fontId="1"/>
  </si>
  <si>
    <t>合計</t>
    <rPh sb="0" eb="2">
      <t>ゴウケイ</t>
    </rPh>
    <phoneticPr fontId="1"/>
  </si>
  <si>
    <t>チカラ　名駅笹島店</t>
    <rPh sb="4" eb="6">
      <t>メイエキ</t>
    </rPh>
    <rPh sb="6" eb="8">
      <t>ササシマ</t>
    </rPh>
    <rPh sb="8" eb="9">
      <t>テン</t>
    </rPh>
    <phoneticPr fontId="1"/>
  </si>
  <si>
    <t>チカラ　東岡崎駅前店</t>
    <rPh sb="4" eb="8">
      <t>ヒガシオカザキエキ</t>
    </rPh>
    <rPh sb="8" eb="9">
      <t>マエ</t>
    </rPh>
    <rPh sb="9" eb="10">
      <t>テン</t>
    </rPh>
    <phoneticPr fontId="1"/>
  </si>
  <si>
    <t>チカラ　豊橋駅前店</t>
    <rPh sb="4" eb="7">
      <t>トヨハシエキ</t>
    </rPh>
    <rPh sb="7" eb="8">
      <t>マエ</t>
    </rPh>
    <phoneticPr fontId="1"/>
  </si>
  <si>
    <t>チカラ　豊田駅前店</t>
    <rPh sb="4" eb="6">
      <t>トヨタ</t>
    </rPh>
    <rPh sb="6" eb="8">
      <t>エキマエ</t>
    </rPh>
    <phoneticPr fontId="1"/>
  </si>
  <si>
    <t>ミッション　刈谷駅前店</t>
    <rPh sb="6" eb="8">
      <t>カリヤ</t>
    </rPh>
    <rPh sb="8" eb="10">
      <t>エキマエ</t>
    </rPh>
    <phoneticPr fontId="1"/>
  </si>
  <si>
    <t>チカラ　岐阜可児店</t>
    <rPh sb="4" eb="6">
      <t>ギフ</t>
    </rPh>
    <rPh sb="6" eb="8">
      <t>カジ</t>
    </rPh>
    <rPh sb="8" eb="9">
      <t>テン</t>
    </rPh>
    <phoneticPr fontId="1"/>
  </si>
  <si>
    <t>ミッション　藤枝駅前店</t>
    <rPh sb="6" eb="8">
      <t>フジエダ</t>
    </rPh>
    <rPh sb="8" eb="10">
      <t>エキマエ</t>
    </rPh>
    <phoneticPr fontId="1"/>
  </si>
  <si>
    <t>ミッション   掛川駅前店</t>
    <rPh sb="8" eb="10">
      <t>カケガワ</t>
    </rPh>
    <rPh sb="10" eb="12">
      <t>エキマエ</t>
    </rPh>
    <phoneticPr fontId="1"/>
  </si>
  <si>
    <t>ミッション　太田川駅前店</t>
    <rPh sb="6" eb="8">
      <t>オオタ</t>
    </rPh>
    <rPh sb="8" eb="9">
      <t>ガワ</t>
    </rPh>
    <rPh sb="9" eb="11">
      <t>エキマエ</t>
    </rPh>
    <phoneticPr fontId="1"/>
  </si>
  <si>
    <t>ミッション　津駅前店</t>
    <rPh sb="6" eb="7">
      <t>ツ</t>
    </rPh>
    <rPh sb="7" eb="9">
      <t>エキマエ</t>
    </rPh>
    <phoneticPr fontId="1"/>
  </si>
  <si>
    <t>ミッション　知立駅前店</t>
    <rPh sb="6" eb="8">
      <t>チリュウ</t>
    </rPh>
    <rPh sb="8" eb="9">
      <t>エキ</t>
    </rPh>
    <rPh sb="9" eb="10">
      <t>マエ</t>
    </rPh>
    <rPh sb="10" eb="11">
      <t>ミセ</t>
    </rPh>
    <phoneticPr fontId="1"/>
  </si>
  <si>
    <t>ミッション　甲府駅前店</t>
    <rPh sb="6" eb="8">
      <t>コウフ</t>
    </rPh>
    <phoneticPr fontId="1"/>
  </si>
  <si>
    <t>キャッツ　三重菰野店</t>
    <phoneticPr fontId="1"/>
  </si>
  <si>
    <t>ミッション　近江八幡店</t>
    <rPh sb="6" eb="7">
      <t>キン</t>
    </rPh>
    <rPh sb="7" eb="8">
      <t>エ</t>
    </rPh>
    <rPh sb="8" eb="10">
      <t>ハチマン</t>
    </rPh>
    <rPh sb="10" eb="11">
      <t>テン</t>
    </rPh>
    <phoneticPr fontId="1"/>
  </si>
  <si>
    <t xml:space="preserve"> </t>
    <phoneticPr fontId="1"/>
  </si>
  <si>
    <t>ミッション　多治見駅前店</t>
    <rPh sb="6" eb="11">
      <t>タジミエキマエ</t>
    </rPh>
    <phoneticPr fontId="1"/>
  </si>
  <si>
    <t>ミッション　多治見駅前店</t>
    <phoneticPr fontId="1"/>
  </si>
  <si>
    <t xml:space="preserve"> </t>
    <phoneticPr fontId="1"/>
  </si>
  <si>
    <t>2025年4月まで</t>
    <rPh sb="4" eb="5">
      <t>ネン</t>
    </rPh>
    <rPh sb="6" eb="7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</si>
</sst>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&quot;店舗&quot;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2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24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20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24"/>
      <name val="Meiryo UI"/>
      <family val="3"/>
      <charset val="128"/>
    </font>
    <font>
      <sz val="28"/>
      <color theme="1"/>
      <name val="Meiryo UI"/>
      <family val="3"/>
      <charset val="128"/>
    </font>
    <font>
      <b/>
      <sz val="28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38" fontId="6" fillId="0" borderId="0" xfId="1" applyFont="1">
      <alignment vertical="center"/>
    </xf>
    <xf numFmtId="38" fontId="3" fillId="3" borderId="2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8" fontId="3" fillId="0" borderId="4" xfId="1" applyFont="1" applyFill="1" applyBorder="1" applyAlignment="1">
      <alignment horizontal="right" vertical="center"/>
    </xf>
    <xf numFmtId="0" fontId="8" fillId="0" borderId="1" xfId="0" applyFont="1" applyBorder="1">
      <alignment vertical="center"/>
    </xf>
    <xf numFmtId="38" fontId="3" fillId="0" borderId="1" xfId="1" applyFont="1" applyBorder="1">
      <alignment vertical="center"/>
    </xf>
    <xf numFmtId="38" fontId="3" fillId="0" borderId="7" xfId="1" applyFont="1" applyBorder="1">
      <alignment vertical="center"/>
    </xf>
    <xf numFmtId="38" fontId="3" fillId="0" borderId="5" xfId="1" applyFont="1" applyBorder="1">
      <alignment vertical="center"/>
    </xf>
    <xf numFmtId="0" fontId="9" fillId="0" borderId="0" xfId="0" applyFont="1">
      <alignment vertical="center"/>
    </xf>
    <xf numFmtId="38" fontId="4" fillId="0" borderId="0" xfId="1" applyFont="1">
      <alignment vertical="center"/>
    </xf>
    <xf numFmtId="176" fontId="3" fillId="0" borderId="7" xfId="1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55" fontId="5" fillId="3" borderId="1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38" fontId="6" fillId="0" borderId="0" xfId="0" applyNumberFormat="1" applyFont="1">
      <alignment vertical="center"/>
    </xf>
    <xf numFmtId="55" fontId="7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630529614160226E-2"/>
          <c:y val="5.8558667408406852E-2"/>
          <c:w val="0.91379483848592058"/>
          <c:h val="0.80240336593089268"/>
        </c:manualLayout>
      </c:layout>
      <c:barChart>
        <c:barDir val="col"/>
        <c:grouping val="clustered"/>
        <c:varyColors val="0"/>
        <c:ser>
          <c:idx val="0"/>
          <c:order val="0"/>
          <c:tx>
            <c:v>2024年5月～2025年4月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登録者数!$BR$2:$CC$2</c:f>
              <c:numCache>
                <c:formatCode>yyyy"年"m"月"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登録者数!$BE$18:$BP$18</c:f>
              <c:numCache>
                <c:formatCode>#,##0_);[Red]\(#,##0\)</c:formatCode>
                <c:ptCount val="12"/>
                <c:pt idx="0">
                  <c:v>1670</c:v>
                </c:pt>
                <c:pt idx="1">
                  <c:v>1132</c:v>
                </c:pt>
                <c:pt idx="2">
                  <c:v>1286</c:v>
                </c:pt>
                <c:pt idx="3">
                  <c:v>1489</c:v>
                </c:pt>
                <c:pt idx="4">
                  <c:v>1183</c:v>
                </c:pt>
                <c:pt idx="5">
                  <c:v>1507</c:v>
                </c:pt>
                <c:pt idx="6">
                  <c:v>1120</c:v>
                </c:pt>
                <c:pt idx="7">
                  <c:v>1459</c:v>
                </c:pt>
                <c:pt idx="8">
                  <c:v>1027</c:v>
                </c:pt>
                <c:pt idx="9">
                  <c:v>1279</c:v>
                </c:pt>
                <c:pt idx="10">
                  <c:v>1720</c:v>
                </c:pt>
                <c:pt idx="11">
                  <c:v>1634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C7-4A65-80DD-B79CAB0CC15A}"/>
            </c:ext>
          </c:extLst>
        </c:ser>
        <c:ser>
          <c:idx val="1"/>
          <c:order val="1"/>
          <c:tx>
            <c:v>2025年5月～2026年4月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登録者数!$BR$2:$CC$2</c:f>
              <c:numCache>
                <c:formatCode>yyyy"年"m"月"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登録者数!$BR$18:$CC$18</c:f>
              <c:numCache>
                <c:formatCode>#,##0_);[Red]\(#,##0\)</c:formatCode>
                <c:ptCount val="12"/>
                <c:pt idx="0">
                  <c:v>1878</c:v>
                </c:pt>
                <c:pt idx="1">
                  <c:v>1436</c:v>
                </c:pt>
                <c:pt idx="2">
                  <c:v>1864</c:v>
                </c:pt>
                <c:pt idx="3">
                  <c:v>2593</c:v>
                </c:pt>
                <c:pt idx="4">
                  <c:v>1218</c:v>
                </c:pt>
                <c:pt idx="5">
                  <c:v>1205</c:v>
                </c:pt>
                <c:pt idx="6">
                  <c:v>944</c:v>
                </c:pt>
                <c:pt idx="7">
                  <c:v>2075</c:v>
                </c:pt>
                <c:pt idx="8">
                  <c:v>1513</c:v>
                </c:pt>
                <c:pt idx="9">
                  <c:v>1581</c:v>
                </c:pt>
                <c:pt idx="10">
                  <c:v>2016</c:v>
                </c:pt>
                <c:pt idx="11">
                  <c:v>1385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3-E9C7-4A65-80DD-B79CAB0CC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7476488"/>
        <c:axId val="467476096"/>
      </c:barChart>
      <c:lineChart>
        <c:grouping val="standard"/>
        <c:varyColors val="0"/>
        <c:ser>
          <c:idx val="2"/>
          <c:order val="2"/>
          <c:tx>
            <c:v>ユーザー数推移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登録者数!$BR$2:$CC$2</c:f>
              <c:numCache>
                <c:formatCode>yyyy"年"m"月"</c:formatCode>
                <c:ptCount val="12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  <c:pt idx="8">
                  <c:v>46023</c:v>
                </c:pt>
                <c:pt idx="9">
                  <c:v>46054</c:v>
                </c:pt>
                <c:pt idx="10">
                  <c:v>46082</c:v>
                </c:pt>
                <c:pt idx="11">
                  <c:v>46113</c:v>
                </c:pt>
              </c:numCache>
            </c:numRef>
          </c:cat>
          <c:val>
            <c:numRef>
              <c:f>登録者数!$BQ$20:$CC$20</c:f>
              <c:numCache>
                <c:formatCode>#,##0_);[Red]\(#,##0\)</c:formatCode>
                <c:ptCount val="13"/>
                <c:pt idx="0">
                  <c:v>82941</c:v>
                </c:pt>
                <c:pt idx="1">
                  <c:v>84819</c:v>
                </c:pt>
                <c:pt idx="2">
                  <c:v>86255</c:v>
                </c:pt>
                <c:pt idx="3">
                  <c:v>88119</c:v>
                </c:pt>
                <c:pt idx="4">
                  <c:v>90712</c:v>
                </c:pt>
                <c:pt idx="5">
                  <c:v>91930</c:v>
                </c:pt>
                <c:pt idx="6">
                  <c:v>93135</c:v>
                </c:pt>
                <c:pt idx="7">
                  <c:v>94079</c:v>
                </c:pt>
                <c:pt idx="8">
                  <c:v>96154</c:v>
                </c:pt>
                <c:pt idx="9">
                  <c:v>97667</c:v>
                </c:pt>
                <c:pt idx="10">
                  <c:v>99248</c:v>
                </c:pt>
                <c:pt idx="11">
                  <c:v>101264</c:v>
                </c:pt>
                <c:pt idx="12">
                  <c:v>102649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35-E9C7-4A65-80DD-B79CAB0CC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476880"/>
        <c:axId val="467474920"/>
      </c:lineChart>
      <c:dateAx>
        <c:axId val="467476488"/>
        <c:scaling>
          <c:orientation val="minMax"/>
        </c:scaling>
        <c:delete val="0"/>
        <c:axPos val="b"/>
        <c:numFmt formatCode="yyyy&quot;年&quot;m&quot;月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7476096"/>
        <c:crosses val="autoZero"/>
        <c:auto val="1"/>
        <c:lblOffset val="100"/>
        <c:baseTimeUnit val="months"/>
      </c:dateAx>
      <c:valAx>
        <c:axId val="4674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7476488"/>
        <c:crosses val="autoZero"/>
        <c:crossBetween val="between"/>
      </c:valAx>
      <c:valAx>
        <c:axId val="467474920"/>
        <c:scaling>
          <c:orientation val="minMax"/>
        </c:scaling>
        <c:delete val="0"/>
        <c:axPos val="r"/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7476880"/>
        <c:crosses val="max"/>
        <c:crossBetween val="between"/>
      </c:valAx>
      <c:dateAx>
        <c:axId val="467476880"/>
        <c:scaling>
          <c:orientation val="minMax"/>
        </c:scaling>
        <c:delete val="1"/>
        <c:axPos val="b"/>
        <c:numFmt formatCode="yyyy&quot;年&quot;m&quot;月&quot;" sourceLinked="1"/>
        <c:majorTickMark val="out"/>
        <c:minorTickMark val="none"/>
        <c:tickLblPos val="nextTo"/>
        <c:crossAx val="4674749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420030713942657"/>
          <c:y val="0.93469084675234648"/>
          <c:w val="0.29305954404279178"/>
          <c:h val="3.5716067241981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0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71438</xdr:colOff>
      <xdr:row>20</xdr:row>
      <xdr:rowOff>200021</xdr:rowOff>
    </xdr:from>
    <xdr:to>
      <xdr:col>81</xdr:col>
      <xdr:colOff>2357438</xdr:colOff>
      <xdr:row>45</xdr:row>
      <xdr:rowOff>333375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xmlns="" id="{C3088AFF-DCC3-8B89-73D4-74D423591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30"/>
  <sheetViews>
    <sheetView tabSelected="1" zoomScale="20" zoomScaleNormal="20" zoomScaleSheetLayoutView="33" workbookViewId="0">
      <selection activeCell="CH53" sqref="CH53"/>
    </sheetView>
  </sheetViews>
  <sheetFormatPr defaultColWidth="8.625" defaultRowHeight="38.450000000000003" customHeight="1" x14ac:dyDescent="0.4"/>
  <cols>
    <col min="1" max="1" width="69.875" style="19" customWidth="1"/>
    <col min="2" max="2" width="29.25" style="2" hidden="1" customWidth="1"/>
    <col min="3" max="17" width="15.75" style="2" hidden="1" customWidth="1"/>
    <col min="18" max="18" width="26" style="2" hidden="1" customWidth="1"/>
    <col min="19" max="27" width="15.75" style="2" hidden="1" customWidth="1"/>
    <col min="28" max="28" width="29.25" style="2" hidden="1" customWidth="1"/>
    <col min="29" max="29" width="26" style="2" hidden="1" customWidth="1"/>
    <col min="30" max="30" width="19.125" style="2" hidden="1" customWidth="1"/>
    <col min="31" max="31" width="15.75" style="2" hidden="1" customWidth="1"/>
    <col min="32" max="32" width="17.5" style="2" hidden="1" customWidth="1"/>
    <col min="33" max="37" width="15.75" style="2" hidden="1" customWidth="1"/>
    <col min="38" max="38" width="16.75" style="2" hidden="1" customWidth="1"/>
    <col min="39" max="39" width="21.375" style="2" hidden="1" customWidth="1"/>
    <col min="40" max="68" width="22" style="2" hidden="1" customWidth="1"/>
    <col min="69" max="81" width="32.75" style="4" customWidth="1"/>
    <col min="82" max="82" width="32.75" style="5" customWidth="1"/>
    <col min="83" max="83" width="65.25" style="2" bestFit="1" customWidth="1"/>
    <col min="84" max="16384" width="8.625" style="2"/>
  </cols>
  <sheetData>
    <row r="1" spans="1:83" ht="55.5" customHeight="1" x14ac:dyDescent="0.4">
      <c r="A1" s="25" t="s">
        <v>1</v>
      </c>
      <c r="BQ1" s="3"/>
    </row>
    <row r="2" spans="1:83" s="7" customFormat="1" ht="55.5" customHeight="1" x14ac:dyDescent="0.4">
      <c r="A2" s="22" t="s">
        <v>0</v>
      </c>
      <c r="B2" s="27">
        <v>43739</v>
      </c>
      <c r="C2" s="27">
        <v>43770</v>
      </c>
      <c r="D2" s="27">
        <v>43800</v>
      </c>
      <c r="E2" s="27">
        <v>43831</v>
      </c>
      <c r="F2" s="27">
        <v>43862</v>
      </c>
      <c r="G2" s="27">
        <v>43891</v>
      </c>
      <c r="H2" s="27">
        <v>43922</v>
      </c>
      <c r="I2" s="27">
        <v>43952</v>
      </c>
      <c r="J2" s="27">
        <v>43983</v>
      </c>
      <c r="K2" s="27">
        <v>44013</v>
      </c>
      <c r="L2" s="27">
        <v>44044</v>
      </c>
      <c r="M2" s="27">
        <v>44075</v>
      </c>
      <c r="N2" s="27">
        <v>44105</v>
      </c>
      <c r="O2" s="27">
        <v>44136</v>
      </c>
      <c r="P2" s="27">
        <v>44166</v>
      </c>
      <c r="Q2" s="27">
        <v>44197</v>
      </c>
      <c r="R2" s="27">
        <v>44228</v>
      </c>
      <c r="S2" s="27">
        <v>44256</v>
      </c>
      <c r="T2" s="27">
        <v>44287</v>
      </c>
      <c r="U2" s="27">
        <v>44317</v>
      </c>
      <c r="V2" s="27">
        <v>44348</v>
      </c>
      <c r="W2" s="27">
        <v>44378</v>
      </c>
      <c r="X2" s="27">
        <v>44409</v>
      </c>
      <c r="Y2" s="27">
        <v>44440</v>
      </c>
      <c r="Z2" s="27">
        <v>44470</v>
      </c>
      <c r="AA2" s="27">
        <v>44501</v>
      </c>
      <c r="AB2" s="27">
        <v>44531</v>
      </c>
      <c r="AC2" s="27">
        <v>44562</v>
      </c>
      <c r="AD2" s="27">
        <v>44593</v>
      </c>
      <c r="AE2" s="27">
        <v>44621</v>
      </c>
      <c r="AF2" s="27">
        <v>44652</v>
      </c>
      <c r="AG2" s="27">
        <v>44682</v>
      </c>
      <c r="AH2" s="27">
        <v>44713</v>
      </c>
      <c r="AI2" s="27">
        <v>44743</v>
      </c>
      <c r="AJ2" s="27">
        <v>44774</v>
      </c>
      <c r="AK2" s="27">
        <v>44805</v>
      </c>
      <c r="AL2" s="27">
        <v>44835</v>
      </c>
      <c r="AM2" s="27">
        <v>44866</v>
      </c>
      <c r="AN2" s="27">
        <v>44896</v>
      </c>
      <c r="AO2" s="27">
        <v>44927</v>
      </c>
      <c r="AP2" s="27">
        <v>44958</v>
      </c>
      <c r="AQ2" s="27">
        <v>44986</v>
      </c>
      <c r="AR2" s="27">
        <v>45017</v>
      </c>
      <c r="AS2" s="27">
        <v>45047</v>
      </c>
      <c r="AT2" s="27">
        <v>45078</v>
      </c>
      <c r="AU2" s="27">
        <v>45108</v>
      </c>
      <c r="AV2" s="27">
        <v>45139</v>
      </c>
      <c r="AW2" s="27">
        <v>45170</v>
      </c>
      <c r="AX2" s="27">
        <v>45200</v>
      </c>
      <c r="AY2" s="27">
        <v>45231</v>
      </c>
      <c r="AZ2" s="27">
        <v>45261</v>
      </c>
      <c r="BA2" s="27">
        <v>45292</v>
      </c>
      <c r="BB2" s="27">
        <v>45323</v>
      </c>
      <c r="BC2" s="27">
        <v>45352</v>
      </c>
      <c r="BD2" s="27">
        <v>45383</v>
      </c>
      <c r="BE2" s="27">
        <v>45413</v>
      </c>
      <c r="BF2" s="27">
        <v>45444</v>
      </c>
      <c r="BG2" s="27">
        <v>45474</v>
      </c>
      <c r="BH2" s="27">
        <v>45505</v>
      </c>
      <c r="BI2" s="27">
        <v>45536</v>
      </c>
      <c r="BJ2" s="27">
        <v>45566</v>
      </c>
      <c r="BK2" s="27">
        <v>45597</v>
      </c>
      <c r="BL2" s="27">
        <v>45627</v>
      </c>
      <c r="BM2" s="27">
        <v>45658</v>
      </c>
      <c r="BN2" s="27">
        <v>45689</v>
      </c>
      <c r="BO2" s="27">
        <v>45717</v>
      </c>
      <c r="BP2" s="27">
        <v>45748</v>
      </c>
      <c r="BQ2" s="24" t="s">
        <v>21</v>
      </c>
      <c r="BR2" s="24">
        <v>45778</v>
      </c>
      <c r="BS2" s="24">
        <v>45809</v>
      </c>
      <c r="BT2" s="24">
        <v>45839</v>
      </c>
      <c r="BU2" s="24">
        <v>45870</v>
      </c>
      <c r="BV2" s="24">
        <v>45901</v>
      </c>
      <c r="BW2" s="24">
        <v>45931</v>
      </c>
      <c r="BX2" s="24">
        <v>45962</v>
      </c>
      <c r="BY2" s="24">
        <v>45992</v>
      </c>
      <c r="BZ2" s="24">
        <v>46023</v>
      </c>
      <c r="CA2" s="24">
        <v>46054</v>
      </c>
      <c r="CB2" s="24">
        <v>46082</v>
      </c>
      <c r="CC2" s="24">
        <v>46113</v>
      </c>
      <c r="CD2" s="6" t="s">
        <v>2</v>
      </c>
      <c r="CE2" s="22" t="s">
        <v>0</v>
      </c>
    </row>
    <row r="3" spans="1:83" ht="55.5" customHeight="1" x14ac:dyDescent="0.4">
      <c r="A3" s="23" t="s">
        <v>3</v>
      </c>
      <c r="B3" s="8">
        <v>657</v>
      </c>
      <c r="C3" s="8">
        <v>454</v>
      </c>
      <c r="D3" s="8">
        <v>314</v>
      </c>
      <c r="E3" s="8">
        <v>151</v>
      </c>
      <c r="F3" s="8">
        <v>163</v>
      </c>
      <c r="G3" s="8">
        <v>246</v>
      </c>
      <c r="H3" s="8">
        <v>31</v>
      </c>
      <c r="I3" s="8">
        <v>28</v>
      </c>
      <c r="J3" s="8">
        <v>67</v>
      </c>
      <c r="K3" s="8">
        <v>50</v>
      </c>
      <c r="L3" s="8">
        <v>36</v>
      </c>
      <c r="M3" s="8">
        <v>52</v>
      </c>
      <c r="N3" s="9">
        <v>185</v>
      </c>
      <c r="O3" s="9">
        <v>82</v>
      </c>
      <c r="P3" s="9">
        <v>106</v>
      </c>
      <c r="Q3" s="9">
        <v>23</v>
      </c>
      <c r="R3" s="10"/>
      <c r="S3" s="9">
        <v>46</v>
      </c>
      <c r="T3" s="9">
        <v>84</v>
      </c>
      <c r="U3" s="9">
        <v>63</v>
      </c>
      <c r="V3" s="9">
        <v>45</v>
      </c>
      <c r="W3" s="9">
        <v>86</v>
      </c>
      <c r="X3" s="9">
        <v>85</v>
      </c>
      <c r="Y3" s="9">
        <v>6</v>
      </c>
      <c r="Z3" s="9">
        <v>83</v>
      </c>
      <c r="AA3" s="9">
        <v>68</v>
      </c>
      <c r="AB3" s="9">
        <v>70</v>
      </c>
      <c r="AC3" s="9">
        <v>33</v>
      </c>
      <c r="AD3" s="9">
        <v>23</v>
      </c>
      <c r="AE3" s="9">
        <v>77</v>
      </c>
      <c r="AF3" s="9">
        <v>586</v>
      </c>
      <c r="AG3" s="9">
        <v>120</v>
      </c>
      <c r="AH3" s="9">
        <v>116</v>
      </c>
      <c r="AI3" s="9">
        <v>168</v>
      </c>
      <c r="AJ3" s="11">
        <v>166</v>
      </c>
      <c r="AK3" s="11">
        <v>104</v>
      </c>
      <c r="AL3" s="11">
        <v>105</v>
      </c>
      <c r="AM3" s="11">
        <v>69</v>
      </c>
      <c r="AN3" s="11">
        <v>105</v>
      </c>
      <c r="AO3" s="11">
        <v>387</v>
      </c>
      <c r="AP3" s="11">
        <v>318</v>
      </c>
      <c r="AQ3" s="11">
        <v>325</v>
      </c>
      <c r="AR3" s="11">
        <v>242</v>
      </c>
      <c r="AS3" s="11">
        <v>251</v>
      </c>
      <c r="AT3" s="11">
        <v>297</v>
      </c>
      <c r="AU3" s="11">
        <v>192</v>
      </c>
      <c r="AV3" s="11">
        <v>173</v>
      </c>
      <c r="AW3" s="11">
        <v>139</v>
      </c>
      <c r="AX3" s="11">
        <v>129</v>
      </c>
      <c r="AY3" s="11">
        <v>109</v>
      </c>
      <c r="AZ3" s="11">
        <v>128</v>
      </c>
      <c r="BA3" s="11">
        <v>95</v>
      </c>
      <c r="BB3" s="11">
        <v>86</v>
      </c>
      <c r="BC3" s="11">
        <v>127</v>
      </c>
      <c r="BD3" s="11">
        <v>248</v>
      </c>
      <c r="BE3" s="11">
        <v>186</v>
      </c>
      <c r="BF3" s="11">
        <v>123</v>
      </c>
      <c r="BG3" s="11">
        <v>103</v>
      </c>
      <c r="BH3" s="11">
        <v>127</v>
      </c>
      <c r="BI3" s="11">
        <v>87</v>
      </c>
      <c r="BJ3" s="11">
        <v>387</v>
      </c>
      <c r="BK3" s="11">
        <v>109</v>
      </c>
      <c r="BL3" s="11">
        <v>154</v>
      </c>
      <c r="BM3" s="11">
        <v>234</v>
      </c>
      <c r="BN3" s="11">
        <v>377</v>
      </c>
      <c r="BO3" s="11">
        <v>165</v>
      </c>
      <c r="BP3" s="11">
        <v>241</v>
      </c>
      <c r="BQ3" s="11">
        <f>SUM(B3:BP3)</f>
        <v>10492</v>
      </c>
      <c r="BR3" s="11">
        <v>377</v>
      </c>
      <c r="BS3" s="11">
        <v>320</v>
      </c>
      <c r="BT3" s="11">
        <v>247</v>
      </c>
      <c r="BU3" s="12">
        <v>347</v>
      </c>
      <c r="BV3" s="11">
        <v>188</v>
      </c>
      <c r="BW3" s="11">
        <v>146</v>
      </c>
      <c r="BX3" s="11">
        <v>117</v>
      </c>
      <c r="BY3" s="11">
        <v>115</v>
      </c>
      <c r="BZ3" s="13">
        <v>109</v>
      </c>
      <c r="CA3" s="13">
        <v>94</v>
      </c>
      <c r="CB3" s="13">
        <v>108</v>
      </c>
      <c r="CC3" s="13">
        <v>96</v>
      </c>
      <c r="CD3" s="14">
        <f>SUM(BQ3:CC3)</f>
        <v>12756</v>
      </c>
      <c r="CE3" s="23" t="s">
        <v>3</v>
      </c>
    </row>
    <row r="4" spans="1:83" ht="55.5" customHeight="1" x14ac:dyDescent="0.4">
      <c r="A4" s="23" t="s">
        <v>4</v>
      </c>
      <c r="B4" s="8">
        <v>181</v>
      </c>
      <c r="C4" s="8">
        <v>99</v>
      </c>
      <c r="D4" s="8">
        <v>105</v>
      </c>
      <c r="E4" s="8">
        <v>52</v>
      </c>
      <c r="F4" s="8">
        <v>40</v>
      </c>
      <c r="G4" s="8">
        <v>61</v>
      </c>
      <c r="H4" s="8">
        <v>25</v>
      </c>
      <c r="I4" s="8">
        <v>14</v>
      </c>
      <c r="J4" s="8">
        <v>22</v>
      </c>
      <c r="K4" s="8">
        <v>37</v>
      </c>
      <c r="L4" s="8">
        <v>54</v>
      </c>
      <c r="M4" s="8">
        <v>116</v>
      </c>
      <c r="N4" s="9">
        <v>250</v>
      </c>
      <c r="O4" s="9">
        <v>135</v>
      </c>
      <c r="P4" s="9">
        <v>102</v>
      </c>
      <c r="Q4" s="9">
        <v>47</v>
      </c>
      <c r="R4" s="9">
        <v>51</v>
      </c>
      <c r="S4" s="9">
        <v>73</v>
      </c>
      <c r="T4" s="9">
        <v>76</v>
      </c>
      <c r="U4" s="9">
        <v>51</v>
      </c>
      <c r="V4" s="9">
        <v>58</v>
      </c>
      <c r="W4" s="9">
        <v>555</v>
      </c>
      <c r="X4" s="9">
        <v>448</v>
      </c>
      <c r="Y4" s="9">
        <v>8</v>
      </c>
      <c r="Z4" s="9">
        <v>180</v>
      </c>
      <c r="AA4" s="9">
        <v>55</v>
      </c>
      <c r="AB4" s="9">
        <v>105</v>
      </c>
      <c r="AC4" s="9">
        <v>62</v>
      </c>
      <c r="AD4" s="9">
        <v>46</v>
      </c>
      <c r="AE4" s="9">
        <v>94</v>
      </c>
      <c r="AF4" s="9">
        <v>122</v>
      </c>
      <c r="AG4" s="9">
        <v>97</v>
      </c>
      <c r="AH4" s="9">
        <v>76</v>
      </c>
      <c r="AI4" s="9">
        <v>89</v>
      </c>
      <c r="AJ4" s="11">
        <v>92</v>
      </c>
      <c r="AK4" s="11">
        <v>59</v>
      </c>
      <c r="AL4" s="11">
        <v>69</v>
      </c>
      <c r="AM4" s="11">
        <v>55</v>
      </c>
      <c r="AN4" s="11">
        <v>59</v>
      </c>
      <c r="AO4" s="11">
        <v>69</v>
      </c>
      <c r="AP4" s="11">
        <v>75</v>
      </c>
      <c r="AQ4" s="11">
        <v>117</v>
      </c>
      <c r="AR4" s="11">
        <v>79</v>
      </c>
      <c r="AS4" s="11">
        <v>108</v>
      </c>
      <c r="AT4" s="11">
        <v>72</v>
      </c>
      <c r="AU4" s="11">
        <v>59</v>
      </c>
      <c r="AV4" s="11">
        <v>79</v>
      </c>
      <c r="AW4" s="11">
        <v>67</v>
      </c>
      <c r="AX4" s="11">
        <v>61</v>
      </c>
      <c r="AY4" s="11">
        <v>45</v>
      </c>
      <c r="AZ4" s="11">
        <v>119</v>
      </c>
      <c r="BA4" s="11">
        <v>55</v>
      </c>
      <c r="BB4" s="11">
        <v>56</v>
      </c>
      <c r="BC4" s="11">
        <v>109</v>
      </c>
      <c r="BD4" s="11">
        <v>86</v>
      </c>
      <c r="BE4" s="11">
        <v>86</v>
      </c>
      <c r="BF4" s="11">
        <v>57</v>
      </c>
      <c r="BG4" s="11">
        <v>65</v>
      </c>
      <c r="BH4" s="11">
        <v>69</v>
      </c>
      <c r="BI4" s="11">
        <v>66</v>
      </c>
      <c r="BJ4" s="11">
        <v>56</v>
      </c>
      <c r="BK4" s="11">
        <v>62</v>
      </c>
      <c r="BL4" s="11">
        <v>81</v>
      </c>
      <c r="BM4" s="11">
        <v>45</v>
      </c>
      <c r="BN4" s="11">
        <v>64</v>
      </c>
      <c r="BO4" s="11">
        <v>97</v>
      </c>
      <c r="BP4" s="11">
        <v>73</v>
      </c>
      <c r="BQ4" s="11">
        <f t="shared" ref="BQ4:BQ15" si="0">SUM(B4:BP4)</f>
        <v>5997</v>
      </c>
      <c r="BR4" s="11">
        <v>85</v>
      </c>
      <c r="BS4" s="11">
        <v>63</v>
      </c>
      <c r="BT4" s="11">
        <v>71</v>
      </c>
      <c r="BU4" s="12">
        <v>87</v>
      </c>
      <c r="BV4" s="11">
        <v>94</v>
      </c>
      <c r="BW4" s="11">
        <v>87</v>
      </c>
      <c r="BX4" s="11">
        <v>62</v>
      </c>
      <c r="BY4" s="11">
        <v>106</v>
      </c>
      <c r="BZ4" s="13">
        <v>85</v>
      </c>
      <c r="CA4" s="13">
        <v>57</v>
      </c>
      <c r="CB4" s="13">
        <v>98</v>
      </c>
      <c r="CC4" s="13">
        <v>79</v>
      </c>
      <c r="CD4" s="14">
        <f t="shared" ref="CD4:CD15" si="1">SUM(BQ4:CC4)</f>
        <v>6971</v>
      </c>
      <c r="CE4" s="23" t="s">
        <v>4</v>
      </c>
    </row>
    <row r="5" spans="1:83" ht="55.5" customHeight="1" x14ac:dyDescent="0.4">
      <c r="A5" s="23" t="s">
        <v>5</v>
      </c>
      <c r="B5" s="8">
        <v>299</v>
      </c>
      <c r="C5" s="8">
        <v>647</v>
      </c>
      <c r="D5" s="8">
        <v>366</v>
      </c>
      <c r="E5" s="8">
        <v>85</v>
      </c>
      <c r="F5" s="8">
        <v>194</v>
      </c>
      <c r="G5" s="8">
        <v>206</v>
      </c>
      <c r="H5" s="8">
        <v>26</v>
      </c>
      <c r="I5" s="8">
        <v>12</v>
      </c>
      <c r="J5" s="8">
        <v>19</v>
      </c>
      <c r="K5" s="8">
        <v>28</v>
      </c>
      <c r="L5" s="8">
        <v>26</v>
      </c>
      <c r="M5" s="8">
        <v>29</v>
      </c>
      <c r="N5" s="9">
        <v>59</v>
      </c>
      <c r="O5" s="9">
        <v>37</v>
      </c>
      <c r="P5" s="9">
        <v>58</v>
      </c>
      <c r="Q5" s="9">
        <v>14</v>
      </c>
      <c r="R5" s="9">
        <v>26</v>
      </c>
      <c r="S5" s="9">
        <v>42</v>
      </c>
      <c r="T5" s="9">
        <v>39</v>
      </c>
      <c r="U5" s="9">
        <v>23</v>
      </c>
      <c r="V5" s="9">
        <v>59</v>
      </c>
      <c r="W5" s="9">
        <v>537</v>
      </c>
      <c r="X5" s="9">
        <v>298</v>
      </c>
      <c r="Y5" s="9">
        <v>2</v>
      </c>
      <c r="Z5" s="9">
        <v>186</v>
      </c>
      <c r="AA5" s="9">
        <v>47</v>
      </c>
      <c r="AB5" s="9">
        <v>95</v>
      </c>
      <c r="AC5" s="9">
        <v>33</v>
      </c>
      <c r="AD5" s="9">
        <v>40</v>
      </c>
      <c r="AE5" s="9">
        <v>86</v>
      </c>
      <c r="AF5" s="9">
        <v>59</v>
      </c>
      <c r="AG5" s="9">
        <v>91</v>
      </c>
      <c r="AH5" s="9">
        <v>64</v>
      </c>
      <c r="AI5" s="9">
        <v>63</v>
      </c>
      <c r="AJ5" s="11">
        <v>53</v>
      </c>
      <c r="AK5" s="11">
        <v>55</v>
      </c>
      <c r="AL5" s="11">
        <v>57</v>
      </c>
      <c r="AM5" s="11">
        <v>62</v>
      </c>
      <c r="AN5" s="11">
        <v>78</v>
      </c>
      <c r="AO5" s="11">
        <v>59</v>
      </c>
      <c r="AP5" s="11">
        <v>58</v>
      </c>
      <c r="AQ5" s="11">
        <v>104</v>
      </c>
      <c r="AR5" s="11">
        <v>70</v>
      </c>
      <c r="AS5" s="11">
        <v>79</v>
      </c>
      <c r="AT5" s="11">
        <v>74</v>
      </c>
      <c r="AU5" s="11">
        <v>51</v>
      </c>
      <c r="AV5" s="11">
        <v>104</v>
      </c>
      <c r="AW5" s="11">
        <v>69</v>
      </c>
      <c r="AX5" s="11">
        <v>61</v>
      </c>
      <c r="AY5" s="11">
        <v>63</v>
      </c>
      <c r="AZ5" s="11">
        <v>93</v>
      </c>
      <c r="BA5" s="11">
        <v>70</v>
      </c>
      <c r="BB5" s="11">
        <v>60</v>
      </c>
      <c r="BC5" s="11">
        <v>82</v>
      </c>
      <c r="BD5" s="11">
        <v>68</v>
      </c>
      <c r="BE5" s="11">
        <v>80</v>
      </c>
      <c r="BF5" s="11">
        <v>56</v>
      </c>
      <c r="BG5" s="11">
        <v>57</v>
      </c>
      <c r="BH5" s="11">
        <v>72</v>
      </c>
      <c r="BI5" s="11">
        <v>57</v>
      </c>
      <c r="BJ5" s="11">
        <v>60</v>
      </c>
      <c r="BK5" s="11">
        <v>46</v>
      </c>
      <c r="BL5" s="11">
        <v>86</v>
      </c>
      <c r="BM5" s="11">
        <v>50</v>
      </c>
      <c r="BN5" s="11">
        <v>55</v>
      </c>
      <c r="BO5" s="11">
        <v>62</v>
      </c>
      <c r="BP5" s="11">
        <v>75</v>
      </c>
      <c r="BQ5" s="11">
        <f t="shared" si="0"/>
        <v>6121</v>
      </c>
      <c r="BR5" s="11">
        <v>67</v>
      </c>
      <c r="BS5" s="11">
        <v>33</v>
      </c>
      <c r="BT5" s="11">
        <v>58</v>
      </c>
      <c r="BU5" s="12">
        <v>50</v>
      </c>
      <c r="BV5" s="11">
        <v>54</v>
      </c>
      <c r="BW5" s="11">
        <v>59</v>
      </c>
      <c r="BX5" s="11">
        <v>30</v>
      </c>
      <c r="BY5" s="11">
        <v>54</v>
      </c>
      <c r="BZ5" s="13">
        <v>57</v>
      </c>
      <c r="CA5" s="13">
        <v>45</v>
      </c>
      <c r="CB5" s="13">
        <v>46</v>
      </c>
      <c r="CC5" s="13">
        <v>47</v>
      </c>
      <c r="CD5" s="14">
        <f t="shared" si="1"/>
        <v>6721</v>
      </c>
      <c r="CE5" s="23" t="s">
        <v>5</v>
      </c>
    </row>
    <row r="6" spans="1:83" ht="55.5" customHeight="1" x14ac:dyDescent="0.4">
      <c r="A6" s="23" t="s">
        <v>6</v>
      </c>
      <c r="B6" s="8">
        <v>217</v>
      </c>
      <c r="C6" s="8">
        <v>90</v>
      </c>
      <c r="D6" s="8">
        <v>148</v>
      </c>
      <c r="E6" s="8">
        <v>61</v>
      </c>
      <c r="F6" s="8">
        <v>63</v>
      </c>
      <c r="G6" s="8">
        <v>73</v>
      </c>
      <c r="H6" s="8">
        <v>18</v>
      </c>
      <c r="I6" s="8">
        <v>8</v>
      </c>
      <c r="J6" s="8">
        <v>27</v>
      </c>
      <c r="K6" s="8">
        <v>23</v>
      </c>
      <c r="L6" s="8">
        <v>30</v>
      </c>
      <c r="M6" s="8">
        <v>44</v>
      </c>
      <c r="N6" s="9">
        <v>88</v>
      </c>
      <c r="O6" s="9">
        <v>34</v>
      </c>
      <c r="P6" s="9">
        <v>46</v>
      </c>
      <c r="Q6" s="9">
        <v>28</v>
      </c>
      <c r="R6" s="9">
        <v>21</v>
      </c>
      <c r="S6" s="9">
        <v>42</v>
      </c>
      <c r="T6" s="9">
        <v>61</v>
      </c>
      <c r="U6" s="9">
        <v>40</v>
      </c>
      <c r="V6" s="9">
        <v>51</v>
      </c>
      <c r="W6" s="9">
        <v>262</v>
      </c>
      <c r="X6" s="9">
        <v>224</v>
      </c>
      <c r="Y6" s="9">
        <v>19</v>
      </c>
      <c r="Z6" s="9">
        <v>53</v>
      </c>
      <c r="AA6" s="9">
        <v>44</v>
      </c>
      <c r="AB6" s="9">
        <v>59</v>
      </c>
      <c r="AC6" s="9">
        <v>45</v>
      </c>
      <c r="AD6" s="9">
        <v>31</v>
      </c>
      <c r="AE6" s="9">
        <v>95</v>
      </c>
      <c r="AF6" s="9">
        <v>72</v>
      </c>
      <c r="AG6" s="9">
        <v>60</v>
      </c>
      <c r="AH6" s="9">
        <v>63</v>
      </c>
      <c r="AI6" s="9">
        <v>49</v>
      </c>
      <c r="AJ6" s="11">
        <v>61</v>
      </c>
      <c r="AK6" s="11">
        <v>42</v>
      </c>
      <c r="AL6" s="11">
        <v>46</v>
      </c>
      <c r="AM6" s="11">
        <v>40</v>
      </c>
      <c r="AN6" s="11">
        <v>67</v>
      </c>
      <c r="AO6" s="11">
        <v>72</v>
      </c>
      <c r="AP6" s="11">
        <v>66</v>
      </c>
      <c r="AQ6" s="11">
        <v>93</v>
      </c>
      <c r="AR6" s="11">
        <v>50</v>
      </c>
      <c r="AS6" s="11">
        <v>81</v>
      </c>
      <c r="AT6" s="11">
        <v>70</v>
      </c>
      <c r="AU6" s="11">
        <v>51</v>
      </c>
      <c r="AV6" s="11">
        <v>72</v>
      </c>
      <c r="AW6" s="11">
        <v>55</v>
      </c>
      <c r="AX6" s="11">
        <v>45</v>
      </c>
      <c r="AY6" s="11">
        <v>69</v>
      </c>
      <c r="AZ6" s="11">
        <v>110</v>
      </c>
      <c r="BA6" s="11">
        <v>42</v>
      </c>
      <c r="BB6" s="11">
        <v>88</v>
      </c>
      <c r="BC6" s="11">
        <v>111</v>
      </c>
      <c r="BD6" s="11">
        <v>100</v>
      </c>
      <c r="BE6" s="11">
        <v>94</v>
      </c>
      <c r="BF6" s="11">
        <v>73</v>
      </c>
      <c r="BG6" s="11">
        <v>85</v>
      </c>
      <c r="BH6" s="11">
        <v>110</v>
      </c>
      <c r="BI6" s="11">
        <v>85</v>
      </c>
      <c r="BJ6" s="11">
        <v>116</v>
      </c>
      <c r="BK6" s="11">
        <v>123</v>
      </c>
      <c r="BL6" s="11">
        <v>122</v>
      </c>
      <c r="BM6" s="11">
        <v>91</v>
      </c>
      <c r="BN6" s="11">
        <v>84</v>
      </c>
      <c r="BO6" s="11">
        <v>122</v>
      </c>
      <c r="BP6" s="11">
        <v>90</v>
      </c>
      <c r="BQ6" s="11">
        <f t="shared" si="0"/>
        <v>4915</v>
      </c>
      <c r="BR6" s="11">
        <v>110</v>
      </c>
      <c r="BS6" s="11">
        <v>89</v>
      </c>
      <c r="BT6" s="11">
        <v>100</v>
      </c>
      <c r="BU6" s="12">
        <v>118</v>
      </c>
      <c r="BV6" s="11">
        <v>92</v>
      </c>
      <c r="BW6" s="11">
        <v>81</v>
      </c>
      <c r="BX6" s="11">
        <v>57</v>
      </c>
      <c r="BY6" s="11">
        <v>117</v>
      </c>
      <c r="BZ6" s="13">
        <v>81</v>
      </c>
      <c r="CA6" s="13">
        <v>104</v>
      </c>
      <c r="CB6" s="13">
        <v>86</v>
      </c>
      <c r="CC6" s="13">
        <v>78</v>
      </c>
      <c r="CD6" s="14">
        <f t="shared" si="1"/>
        <v>6028</v>
      </c>
      <c r="CE6" s="23" t="s">
        <v>6</v>
      </c>
    </row>
    <row r="7" spans="1:83" ht="55.5" customHeight="1" x14ac:dyDescent="0.4">
      <c r="A7" s="23" t="s">
        <v>7</v>
      </c>
      <c r="B7" s="8">
        <v>171</v>
      </c>
      <c r="C7" s="8">
        <v>157</v>
      </c>
      <c r="D7" s="8">
        <v>129</v>
      </c>
      <c r="E7" s="8">
        <v>119</v>
      </c>
      <c r="F7" s="8">
        <v>334</v>
      </c>
      <c r="G7" s="8">
        <v>538</v>
      </c>
      <c r="H7" s="8">
        <v>22</v>
      </c>
      <c r="I7" s="8">
        <v>30</v>
      </c>
      <c r="J7" s="8">
        <v>40</v>
      </c>
      <c r="K7" s="8">
        <v>49</v>
      </c>
      <c r="L7" s="8">
        <v>45</v>
      </c>
      <c r="M7" s="8">
        <v>152</v>
      </c>
      <c r="N7" s="9">
        <v>131</v>
      </c>
      <c r="O7" s="9">
        <v>107</v>
      </c>
      <c r="P7" s="9">
        <v>61</v>
      </c>
      <c r="Q7" s="9">
        <v>34</v>
      </c>
      <c r="R7" s="9">
        <v>52</v>
      </c>
      <c r="S7" s="9">
        <v>70</v>
      </c>
      <c r="T7" s="9">
        <v>108</v>
      </c>
      <c r="U7" s="9">
        <v>68</v>
      </c>
      <c r="V7" s="9">
        <v>81</v>
      </c>
      <c r="W7" s="9">
        <v>353</v>
      </c>
      <c r="X7" s="9">
        <v>146</v>
      </c>
      <c r="Y7" s="9">
        <v>21</v>
      </c>
      <c r="Z7" s="9">
        <v>102</v>
      </c>
      <c r="AA7" s="9">
        <v>67</v>
      </c>
      <c r="AB7" s="9">
        <v>136</v>
      </c>
      <c r="AC7" s="9">
        <v>72</v>
      </c>
      <c r="AD7" s="9">
        <v>53</v>
      </c>
      <c r="AE7" s="9">
        <v>97</v>
      </c>
      <c r="AF7" s="9">
        <v>241</v>
      </c>
      <c r="AG7" s="9">
        <v>87</v>
      </c>
      <c r="AH7" s="9">
        <v>96</v>
      </c>
      <c r="AI7" s="9">
        <v>86</v>
      </c>
      <c r="AJ7" s="11">
        <v>107</v>
      </c>
      <c r="AK7" s="11">
        <v>77</v>
      </c>
      <c r="AL7" s="11">
        <v>70</v>
      </c>
      <c r="AM7" s="11">
        <v>49</v>
      </c>
      <c r="AN7" s="11">
        <v>55</v>
      </c>
      <c r="AO7" s="11">
        <v>53</v>
      </c>
      <c r="AP7" s="11">
        <v>93</v>
      </c>
      <c r="AQ7" s="11">
        <v>143</v>
      </c>
      <c r="AR7" s="11">
        <v>94</v>
      </c>
      <c r="AS7" s="11">
        <v>129</v>
      </c>
      <c r="AT7" s="11">
        <v>106</v>
      </c>
      <c r="AU7" s="11">
        <v>93</v>
      </c>
      <c r="AV7" s="11">
        <v>151</v>
      </c>
      <c r="AW7" s="11">
        <v>103</v>
      </c>
      <c r="AX7" s="11">
        <v>84</v>
      </c>
      <c r="AY7" s="11">
        <v>85</v>
      </c>
      <c r="AZ7" s="11">
        <v>163</v>
      </c>
      <c r="BA7" s="11">
        <v>76</v>
      </c>
      <c r="BB7" s="11">
        <v>91</v>
      </c>
      <c r="BC7" s="11">
        <v>158</v>
      </c>
      <c r="BD7" s="11">
        <v>133</v>
      </c>
      <c r="BE7" s="11">
        <v>135</v>
      </c>
      <c r="BF7" s="11">
        <v>90</v>
      </c>
      <c r="BG7" s="11">
        <v>89</v>
      </c>
      <c r="BH7" s="11">
        <v>98</v>
      </c>
      <c r="BI7" s="11">
        <v>109</v>
      </c>
      <c r="BJ7" s="11">
        <v>63</v>
      </c>
      <c r="BK7" s="11">
        <v>91</v>
      </c>
      <c r="BL7" s="11">
        <v>107</v>
      </c>
      <c r="BM7" s="11">
        <v>72</v>
      </c>
      <c r="BN7" s="11">
        <v>64</v>
      </c>
      <c r="BO7" s="11">
        <v>149</v>
      </c>
      <c r="BP7" s="11">
        <v>93</v>
      </c>
      <c r="BQ7" s="11">
        <f t="shared" si="0"/>
        <v>7328</v>
      </c>
      <c r="BR7" s="11">
        <v>144</v>
      </c>
      <c r="BS7" s="11">
        <v>123</v>
      </c>
      <c r="BT7" s="11">
        <v>399</v>
      </c>
      <c r="BU7" s="12">
        <v>508</v>
      </c>
      <c r="BV7" s="11">
        <v>126</v>
      </c>
      <c r="BW7" s="11">
        <v>94</v>
      </c>
      <c r="BX7" s="11">
        <v>96</v>
      </c>
      <c r="BY7" s="11">
        <v>141</v>
      </c>
      <c r="BZ7" s="13">
        <v>172</v>
      </c>
      <c r="CA7" s="13">
        <v>143</v>
      </c>
      <c r="CB7" s="13">
        <v>181</v>
      </c>
      <c r="CC7" s="13">
        <v>103</v>
      </c>
      <c r="CD7" s="14">
        <f t="shared" si="1"/>
        <v>9558</v>
      </c>
      <c r="CE7" s="23" t="s">
        <v>7</v>
      </c>
    </row>
    <row r="8" spans="1:83" ht="55.5" customHeight="1" x14ac:dyDescent="0.4">
      <c r="A8" s="23" t="s">
        <v>8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5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>
        <v>431</v>
      </c>
      <c r="AC8" s="9">
        <v>95</v>
      </c>
      <c r="AD8" s="9">
        <v>79</v>
      </c>
      <c r="AE8" s="9">
        <v>121</v>
      </c>
      <c r="AF8" s="9">
        <v>138</v>
      </c>
      <c r="AG8" s="9">
        <v>120</v>
      </c>
      <c r="AH8" s="9">
        <v>153</v>
      </c>
      <c r="AI8" s="9">
        <v>111</v>
      </c>
      <c r="AJ8" s="11">
        <v>93</v>
      </c>
      <c r="AK8" s="11">
        <v>140</v>
      </c>
      <c r="AL8" s="11">
        <v>99</v>
      </c>
      <c r="AM8" s="11">
        <v>135</v>
      </c>
      <c r="AN8" s="11">
        <v>99</v>
      </c>
      <c r="AO8" s="11">
        <v>101</v>
      </c>
      <c r="AP8" s="11">
        <v>104</v>
      </c>
      <c r="AQ8" s="11">
        <v>140</v>
      </c>
      <c r="AR8" s="11">
        <v>88</v>
      </c>
      <c r="AS8" s="11">
        <v>136</v>
      </c>
      <c r="AT8" s="11">
        <v>104</v>
      </c>
      <c r="AU8" s="11">
        <v>94</v>
      </c>
      <c r="AV8" s="11">
        <v>139</v>
      </c>
      <c r="AW8" s="11">
        <v>117</v>
      </c>
      <c r="AX8" s="11">
        <v>68</v>
      </c>
      <c r="AY8" s="11">
        <v>119</v>
      </c>
      <c r="AZ8" s="11">
        <v>160</v>
      </c>
      <c r="BA8" s="11">
        <v>111</v>
      </c>
      <c r="BB8" s="11">
        <v>102</v>
      </c>
      <c r="BC8" s="11">
        <v>140</v>
      </c>
      <c r="BD8" s="11">
        <v>52</v>
      </c>
      <c r="BE8" s="11">
        <v>109</v>
      </c>
      <c r="BF8" s="11">
        <v>138</v>
      </c>
      <c r="BG8" s="11">
        <v>104</v>
      </c>
      <c r="BH8" s="11">
        <v>178</v>
      </c>
      <c r="BI8" s="11">
        <v>136</v>
      </c>
      <c r="BJ8" s="11">
        <v>81</v>
      </c>
      <c r="BK8" s="11">
        <v>78</v>
      </c>
      <c r="BL8" s="11">
        <v>81</v>
      </c>
      <c r="BM8" s="11">
        <v>58</v>
      </c>
      <c r="BN8" s="11">
        <v>95</v>
      </c>
      <c r="BO8" s="11">
        <v>108</v>
      </c>
      <c r="BP8" s="11">
        <v>100</v>
      </c>
      <c r="BQ8" s="11">
        <f t="shared" si="0"/>
        <v>4855</v>
      </c>
      <c r="BR8" s="11">
        <v>87</v>
      </c>
      <c r="BS8" s="11">
        <v>85</v>
      </c>
      <c r="BT8" s="11">
        <v>72</v>
      </c>
      <c r="BU8" s="12">
        <v>96</v>
      </c>
      <c r="BV8" s="11">
        <v>64</v>
      </c>
      <c r="BW8" s="11">
        <v>51</v>
      </c>
      <c r="BX8" s="11">
        <v>49</v>
      </c>
      <c r="BY8" s="11">
        <v>80</v>
      </c>
      <c r="BZ8" s="13">
        <v>65</v>
      </c>
      <c r="CA8" s="13">
        <v>72</v>
      </c>
      <c r="CB8" s="13">
        <v>70</v>
      </c>
      <c r="CC8" s="13">
        <v>54</v>
      </c>
      <c r="CD8" s="14">
        <f t="shared" si="1"/>
        <v>5700</v>
      </c>
      <c r="CE8" s="23" t="s">
        <v>8</v>
      </c>
    </row>
    <row r="9" spans="1:83" ht="55.5" customHeight="1" x14ac:dyDescent="0.4">
      <c r="A9" s="23" t="s">
        <v>9</v>
      </c>
      <c r="B9" s="8">
        <v>171</v>
      </c>
      <c r="C9" s="8">
        <v>183</v>
      </c>
      <c r="D9" s="8">
        <v>102</v>
      </c>
      <c r="E9" s="8">
        <v>44</v>
      </c>
      <c r="F9" s="8">
        <v>47</v>
      </c>
      <c r="G9" s="8">
        <v>48</v>
      </c>
      <c r="H9" s="8">
        <v>0</v>
      </c>
      <c r="I9" s="8">
        <v>10</v>
      </c>
      <c r="J9" s="8">
        <v>45</v>
      </c>
      <c r="K9" s="8">
        <v>42</v>
      </c>
      <c r="L9" s="8">
        <v>22</v>
      </c>
      <c r="M9" s="8">
        <v>21</v>
      </c>
      <c r="N9" s="9">
        <v>67</v>
      </c>
      <c r="O9" s="9">
        <v>102</v>
      </c>
      <c r="P9" s="9">
        <v>34</v>
      </c>
      <c r="Q9" s="9">
        <v>24</v>
      </c>
      <c r="R9" s="9">
        <v>30</v>
      </c>
      <c r="S9" s="9">
        <v>87</v>
      </c>
      <c r="T9" s="9">
        <v>72</v>
      </c>
      <c r="U9" s="9">
        <v>70</v>
      </c>
      <c r="V9" s="9">
        <v>65</v>
      </c>
      <c r="W9" s="9">
        <v>285</v>
      </c>
      <c r="X9" s="9">
        <v>49</v>
      </c>
      <c r="Y9" s="9">
        <v>5</v>
      </c>
      <c r="Z9" s="9">
        <v>106</v>
      </c>
      <c r="AA9" s="9">
        <v>68</v>
      </c>
      <c r="AB9" s="9">
        <v>75</v>
      </c>
      <c r="AC9" s="9">
        <v>40</v>
      </c>
      <c r="AD9" s="9">
        <v>35</v>
      </c>
      <c r="AE9" s="9">
        <v>66</v>
      </c>
      <c r="AF9" s="9">
        <v>40</v>
      </c>
      <c r="AG9" s="9">
        <v>73</v>
      </c>
      <c r="AH9" s="9">
        <v>41</v>
      </c>
      <c r="AI9" s="9">
        <v>75</v>
      </c>
      <c r="AJ9" s="11">
        <v>74</v>
      </c>
      <c r="AK9" s="11">
        <v>85</v>
      </c>
      <c r="AL9" s="11">
        <v>56</v>
      </c>
      <c r="AM9" s="11">
        <v>48</v>
      </c>
      <c r="AN9" s="11">
        <v>60</v>
      </c>
      <c r="AO9" s="11">
        <v>50</v>
      </c>
      <c r="AP9" s="11">
        <v>70</v>
      </c>
      <c r="AQ9" s="11">
        <v>132</v>
      </c>
      <c r="AR9" s="11">
        <v>78</v>
      </c>
      <c r="AS9" s="11">
        <v>87</v>
      </c>
      <c r="AT9" s="11">
        <v>70</v>
      </c>
      <c r="AU9" s="11">
        <v>167</v>
      </c>
      <c r="AV9" s="11">
        <v>234</v>
      </c>
      <c r="AW9" s="11">
        <v>180</v>
      </c>
      <c r="AX9" s="11">
        <v>173</v>
      </c>
      <c r="AY9" s="11">
        <v>128</v>
      </c>
      <c r="AZ9" s="11">
        <v>276</v>
      </c>
      <c r="BA9" s="11">
        <v>135</v>
      </c>
      <c r="BB9" s="11">
        <v>176</v>
      </c>
      <c r="BC9" s="11">
        <v>305</v>
      </c>
      <c r="BD9" s="11">
        <v>183</v>
      </c>
      <c r="BE9" s="11">
        <v>196</v>
      </c>
      <c r="BF9" s="11">
        <v>155</v>
      </c>
      <c r="BG9" s="11">
        <v>261</v>
      </c>
      <c r="BH9" s="11">
        <v>329</v>
      </c>
      <c r="BI9" s="11">
        <v>231</v>
      </c>
      <c r="BJ9" s="11">
        <v>221</v>
      </c>
      <c r="BK9" s="11">
        <v>228</v>
      </c>
      <c r="BL9" s="11">
        <v>332</v>
      </c>
      <c r="BM9" s="11">
        <v>174</v>
      </c>
      <c r="BN9" s="11">
        <v>212</v>
      </c>
      <c r="BO9" s="11">
        <v>392</v>
      </c>
      <c r="BP9" s="11">
        <v>277</v>
      </c>
      <c r="BQ9" s="11">
        <f t="shared" si="0"/>
        <v>8019</v>
      </c>
      <c r="BR9" s="11">
        <v>301</v>
      </c>
      <c r="BS9" s="11">
        <v>205</v>
      </c>
      <c r="BT9" s="11">
        <v>281</v>
      </c>
      <c r="BU9" s="12">
        <v>298</v>
      </c>
      <c r="BV9" s="11">
        <v>117</v>
      </c>
      <c r="BW9" s="11">
        <v>115</v>
      </c>
      <c r="BX9" s="11">
        <v>86</v>
      </c>
      <c r="BY9" s="11">
        <v>144</v>
      </c>
      <c r="BZ9" s="13">
        <v>82</v>
      </c>
      <c r="CA9" s="13">
        <v>82</v>
      </c>
      <c r="CB9" s="13">
        <v>156</v>
      </c>
      <c r="CC9" s="13">
        <v>113</v>
      </c>
      <c r="CD9" s="14">
        <f t="shared" si="1"/>
        <v>9999</v>
      </c>
      <c r="CE9" s="23" t="s">
        <v>9</v>
      </c>
    </row>
    <row r="10" spans="1:83" ht="55.5" customHeight="1" x14ac:dyDescent="0.4">
      <c r="A10" s="23" t="s">
        <v>10</v>
      </c>
      <c r="B10" s="8">
        <v>139</v>
      </c>
      <c r="C10" s="8">
        <v>119</v>
      </c>
      <c r="D10" s="8">
        <v>64</v>
      </c>
      <c r="E10" s="8">
        <v>44</v>
      </c>
      <c r="F10" s="8">
        <v>62</v>
      </c>
      <c r="G10" s="8">
        <v>68</v>
      </c>
      <c r="H10" s="8">
        <v>9</v>
      </c>
      <c r="I10" s="8">
        <v>-1</v>
      </c>
      <c r="J10" s="8">
        <v>41</v>
      </c>
      <c r="K10" s="8">
        <v>42</v>
      </c>
      <c r="L10" s="8">
        <v>32</v>
      </c>
      <c r="M10" s="8">
        <v>26</v>
      </c>
      <c r="N10" s="9">
        <v>223</v>
      </c>
      <c r="O10" s="9">
        <v>101</v>
      </c>
      <c r="P10" s="9">
        <v>38</v>
      </c>
      <c r="Q10" s="9">
        <v>39</v>
      </c>
      <c r="R10" s="9">
        <v>24</v>
      </c>
      <c r="S10" s="9">
        <v>41</v>
      </c>
      <c r="T10" s="9">
        <v>31</v>
      </c>
      <c r="U10" s="9">
        <v>43</v>
      </c>
      <c r="V10" s="9">
        <v>290</v>
      </c>
      <c r="W10" s="9">
        <v>292</v>
      </c>
      <c r="X10" s="9">
        <v>148</v>
      </c>
      <c r="Y10" s="9">
        <v>3</v>
      </c>
      <c r="Z10" s="9">
        <v>288</v>
      </c>
      <c r="AA10" s="9">
        <v>218</v>
      </c>
      <c r="AB10" s="9">
        <v>115</v>
      </c>
      <c r="AC10" s="9">
        <v>46</v>
      </c>
      <c r="AD10" s="9">
        <v>46</v>
      </c>
      <c r="AE10" s="9">
        <v>75</v>
      </c>
      <c r="AF10" s="9">
        <v>59</v>
      </c>
      <c r="AG10" s="9">
        <v>59</v>
      </c>
      <c r="AH10" s="9">
        <v>51</v>
      </c>
      <c r="AI10" s="9">
        <v>50</v>
      </c>
      <c r="AJ10" s="11">
        <v>58</v>
      </c>
      <c r="AK10" s="11">
        <v>45</v>
      </c>
      <c r="AL10" s="11">
        <v>34</v>
      </c>
      <c r="AM10" s="11">
        <v>44</v>
      </c>
      <c r="AN10" s="11">
        <v>42</v>
      </c>
      <c r="AO10" s="11">
        <v>46</v>
      </c>
      <c r="AP10" s="11">
        <v>52</v>
      </c>
      <c r="AQ10" s="11">
        <v>80</v>
      </c>
      <c r="AR10" s="11">
        <v>48</v>
      </c>
      <c r="AS10" s="11">
        <v>61</v>
      </c>
      <c r="AT10" s="11">
        <v>81</v>
      </c>
      <c r="AU10" s="11">
        <v>47</v>
      </c>
      <c r="AV10" s="11">
        <v>119</v>
      </c>
      <c r="AW10" s="11">
        <v>51</v>
      </c>
      <c r="AX10" s="11">
        <v>38</v>
      </c>
      <c r="AY10" s="11">
        <v>40</v>
      </c>
      <c r="AZ10" s="11">
        <v>93</v>
      </c>
      <c r="BA10" s="11">
        <v>37</v>
      </c>
      <c r="BB10" s="11">
        <v>54</v>
      </c>
      <c r="BC10" s="11">
        <v>77</v>
      </c>
      <c r="BD10" s="11">
        <v>48</v>
      </c>
      <c r="BE10" s="11">
        <v>69</v>
      </c>
      <c r="BF10" s="11">
        <v>46</v>
      </c>
      <c r="BG10" s="11">
        <v>53</v>
      </c>
      <c r="BH10" s="11">
        <v>76</v>
      </c>
      <c r="BI10" s="11">
        <v>50</v>
      </c>
      <c r="BJ10" s="11">
        <v>50</v>
      </c>
      <c r="BK10" s="11">
        <v>50</v>
      </c>
      <c r="BL10" s="11">
        <v>51</v>
      </c>
      <c r="BM10" s="11">
        <v>41</v>
      </c>
      <c r="BN10" s="11">
        <v>42</v>
      </c>
      <c r="BO10" s="11">
        <v>68</v>
      </c>
      <c r="BP10" s="11">
        <v>57</v>
      </c>
      <c r="BQ10" s="11">
        <f t="shared" si="0"/>
        <v>4773</v>
      </c>
      <c r="BR10" s="11">
        <v>57</v>
      </c>
      <c r="BS10" s="11">
        <v>33</v>
      </c>
      <c r="BT10" s="11">
        <v>42</v>
      </c>
      <c r="BU10" s="12">
        <v>65</v>
      </c>
      <c r="BV10" s="11">
        <v>53</v>
      </c>
      <c r="BW10" s="11">
        <v>31</v>
      </c>
      <c r="BX10" s="11">
        <v>37</v>
      </c>
      <c r="BY10" s="11">
        <v>76</v>
      </c>
      <c r="BZ10" s="13">
        <v>31</v>
      </c>
      <c r="CA10" s="13">
        <v>43</v>
      </c>
      <c r="CB10" s="13">
        <v>60</v>
      </c>
      <c r="CC10" s="13">
        <v>44</v>
      </c>
      <c r="CD10" s="14">
        <f t="shared" si="1"/>
        <v>5345</v>
      </c>
      <c r="CE10" s="23" t="s">
        <v>10</v>
      </c>
    </row>
    <row r="11" spans="1:83" ht="55.5" customHeight="1" x14ac:dyDescent="0.4">
      <c r="A11" s="23" t="s">
        <v>11</v>
      </c>
      <c r="B11" s="8">
        <v>176</v>
      </c>
      <c r="C11" s="8">
        <v>163</v>
      </c>
      <c r="D11" s="8">
        <v>88</v>
      </c>
      <c r="E11" s="8">
        <v>152</v>
      </c>
      <c r="F11" s="8">
        <v>113</v>
      </c>
      <c r="G11" s="8">
        <v>68</v>
      </c>
      <c r="H11" s="8">
        <v>10</v>
      </c>
      <c r="I11" s="8">
        <v>6</v>
      </c>
      <c r="J11" s="8">
        <v>14</v>
      </c>
      <c r="K11" s="8">
        <v>14</v>
      </c>
      <c r="L11" s="8">
        <v>22</v>
      </c>
      <c r="M11" s="8">
        <v>32</v>
      </c>
      <c r="N11" s="9">
        <v>26</v>
      </c>
      <c r="O11" s="9">
        <v>25</v>
      </c>
      <c r="P11" s="9">
        <v>28</v>
      </c>
      <c r="Q11" s="9">
        <v>15</v>
      </c>
      <c r="R11" s="9">
        <v>20</v>
      </c>
      <c r="S11" s="9">
        <v>23</v>
      </c>
      <c r="T11" s="9">
        <v>42</v>
      </c>
      <c r="U11" s="9">
        <v>23</v>
      </c>
      <c r="V11" s="9">
        <v>40</v>
      </c>
      <c r="W11" s="9">
        <v>57</v>
      </c>
      <c r="X11" s="9">
        <v>301</v>
      </c>
      <c r="Y11" s="9">
        <v>4</v>
      </c>
      <c r="Z11" s="9">
        <v>404</v>
      </c>
      <c r="AA11" s="9">
        <v>218</v>
      </c>
      <c r="AB11" s="9">
        <v>85</v>
      </c>
      <c r="AC11" s="9">
        <v>38</v>
      </c>
      <c r="AD11" s="9">
        <v>27</v>
      </c>
      <c r="AE11" s="9">
        <v>38</v>
      </c>
      <c r="AF11" s="9">
        <v>121</v>
      </c>
      <c r="AG11" s="9">
        <v>163</v>
      </c>
      <c r="AH11" s="9">
        <v>193</v>
      </c>
      <c r="AI11" s="9">
        <v>78</v>
      </c>
      <c r="AJ11" s="11">
        <v>49</v>
      </c>
      <c r="AK11" s="11">
        <v>37</v>
      </c>
      <c r="AL11" s="11">
        <v>42</v>
      </c>
      <c r="AM11" s="11">
        <v>33</v>
      </c>
      <c r="AN11" s="11">
        <v>43</v>
      </c>
      <c r="AO11" s="11">
        <v>70</v>
      </c>
      <c r="AP11" s="11">
        <v>155</v>
      </c>
      <c r="AQ11" s="11">
        <v>116</v>
      </c>
      <c r="AR11" s="11">
        <v>54</v>
      </c>
      <c r="AS11" s="11">
        <v>89</v>
      </c>
      <c r="AT11" s="11">
        <v>72</v>
      </c>
      <c r="AU11" s="11">
        <v>58</v>
      </c>
      <c r="AV11" s="11">
        <v>81</v>
      </c>
      <c r="AW11" s="11">
        <v>67</v>
      </c>
      <c r="AX11" s="11">
        <v>54</v>
      </c>
      <c r="AY11" s="11">
        <v>65</v>
      </c>
      <c r="AZ11" s="11">
        <v>99</v>
      </c>
      <c r="BA11" s="11">
        <v>59</v>
      </c>
      <c r="BB11" s="11">
        <v>55</v>
      </c>
      <c r="BC11" s="11">
        <v>67</v>
      </c>
      <c r="BD11" s="11">
        <v>60</v>
      </c>
      <c r="BE11" s="11">
        <v>67</v>
      </c>
      <c r="BF11" s="11">
        <v>43</v>
      </c>
      <c r="BG11" s="11">
        <v>35</v>
      </c>
      <c r="BH11" s="11">
        <v>53</v>
      </c>
      <c r="BI11" s="11">
        <v>59</v>
      </c>
      <c r="BJ11" s="11">
        <v>63</v>
      </c>
      <c r="BK11" s="11">
        <v>50</v>
      </c>
      <c r="BL11" s="11">
        <v>61</v>
      </c>
      <c r="BM11" s="11">
        <v>42</v>
      </c>
      <c r="BN11" s="11">
        <v>39</v>
      </c>
      <c r="BO11" s="11">
        <v>67</v>
      </c>
      <c r="BP11" s="11">
        <v>48</v>
      </c>
      <c r="BQ11" s="11">
        <f t="shared" si="0"/>
        <v>4879</v>
      </c>
      <c r="BR11" s="11">
        <v>79</v>
      </c>
      <c r="BS11" s="11">
        <v>74</v>
      </c>
      <c r="BT11" s="11">
        <v>49</v>
      </c>
      <c r="BU11" s="12">
        <v>46</v>
      </c>
      <c r="BV11" s="11">
        <v>53</v>
      </c>
      <c r="BW11" s="11">
        <v>47</v>
      </c>
      <c r="BX11" s="11">
        <v>42</v>
      </c>
      <c r="BY11" s="11">
        <v>47</v>
      </c>
      <c r="BZ11" s="13">
        <v>33</v>
      </c>
      <c r="CA11" s="13">
        <v>34</v>
      </c>
      <c r="CB11" s="13">
        <v>35</v>
      </c>
      <c r="CC11" s="13">
        <v>40</v>
      </c>
      <c r="CD11" s="14">
        <f t="shared" si="1"/>
        <v>5458</v>
      </c>
      <c r="CE11" s="23" t="s">
        <v>11</v>
      </c>
    </row>
    <row r="12" spans="1:83" ht="55.5" customHeight="1" x14ac:dyDescent="0.4">
      <c r="A12" s="23" t="s">
        <v>12</v>
      </c>
      <c r="B12" s="8">
        <v>345</v>
      </c>
      <c r="C12" s="8">
        <v>352</v>
      </c>
      <c r="D12" s="8">
        <v>196</v>
      </c>
      <c r="E12" s="8">
        <v>75</v>
      </c>
      <c r="F12" s="8">
        <v>175</v>
      </c>
      <c r="G12" s="8">
        <v>143</v>
      </c>
      <c r="H12" s="8">
        <v>11</v>
      </c>
      <c r="I12" s="8">
        <v>7</v>
      </c>
      <c r="J12" s="8">
        <v>87</v>
      </c>
      <c r="K12" s="8">
        <v>73</v>
      </c>
      <c r="L12" s="8">
        <v>51</v>
      </c>
      <c r="M12" s="8">
        <v>18</v>
      </c>
      <c r="N12" s="9">
        <v>64</v>
      </c>
      <c r="O12" s="9">
        <v>76</v>
      </c>
      <c r="P12" s="9">
        <v>26</v>
      </c>
      <c r="Q12" s="9">
        <v>10</v>
      </c>
      <c r="R12" s="9">
        <v>27</v>
      </c>
      <c r="S12" s="9">
        <v>40</v>
      </c>
      <c r="T12" s="9">
        <v>37</v>
      </c>
      <c r="U12" s="9">
        <v>33</v>
      </c>
      <c r="V12" s="9">
        <v>40</v>
      </c>
      <c r="W12" s="9">
        <v>275</v>
      </c>
      <c r="X12" s="9">
        <v>152</v>
      </c>
      <c r="Y12" s="9">
        <v>-1</v>
      </c>
      <c r="Z12" s="9">
        <v>162</v>
      </c>
      <c r="AA12" s="9">
        <v>149</v>
      </c>
      <c r="AB12" s="9">
        <v>106</v>
      </c>
      <c r="AC12" s="9">
        <v>36</v>
      </c>
      <c r="AD12" s="9">
        <v>41</v>
      </c>
      <c r="AE12" s="9">
        <v>66</v>
      </c>
      <c r="AF12" s="9">
        <v>126</v>
      </c>
      <c r="AG12" s="9">
        <v>133</v>
      </c>
      <c r="AH12" s="9">
        <v>66</v>
      </c>
      <c r="AI12" s="9">
        <v>81</v>
      </c>
      <c r="AJ12" s="11">
        <v>62</v>
      </c>
      <c r="AK12" s="11">
        <v>62</v>
      </c>
      <c r="AL12" s="11">
        <v>60</v>
      </c>
      <c r="AM12" s="11">
        <v>55</v>
      </c>
      <c r="AN12" s="11">
        <v>59</v>
      </c>
      <c r="AO12" s="11">
        <v>41</v>
      </c>
      <c r="AP12" s="11">
        <v>60</v>
      </c>
      <c r="AQ12" s="11">
        <v>92</v>
      </c>
      <c r="AR12" s="11">
        <v>54</v>
      </c>
      <c r="AS12" s="11">
        <v>88</v>
      </c>
      <c r="AT12" s="11">
        <v>71</v>
      </c>
      <c r="AU12" s="11">
        <v>59</v>
      </c>
      <c r="AV12" s="11">
        <v>74</v>
      </c>
      <c r="AW12" s="11">
        <v>73</v>
      </c>
      <c r="AX12" s="11">
        <v>57</v>
      </c>
      <c r="AY12" s="11">
        <v>67</v>
      </c>
      <c r="AZ12" s="11">
        <v>120</v>
      </c>
      <c r="BA12" s="11">
        <v>50</v>
      </c>
      <c r="BB12" s="11">
        <v>85</v>
      </c>
      <c r="BC12" s="11">
        <v>94</v>
      </c>
      <c r="BD12" s="11">
        <v>71</v>
      </c>
      <c r="BE12" s="11">
        <v>93</v>
      </c>
      <c r="BF12" s="11">
        <v>60</v>
      </c>
      <c r="BG12" s="11">
        <v>72</v>
      </c>
      <c r="BH12" s="11">
        <v>68</v>
      </c>
      <c r="BI12" s="11">
        <v>62</v>
      </c>
      <c r="BJ12" s="11">
        <v>67</v>
      </c>
      <c r="BK12" s="11">
        <v>53</v>
      </c>
      <c r="BL12" s="11">
        <v>72</v>
      </c>
      <c r="BM12" s="11">
        <v>63</v>
      </c>
      <c r="BN12" s="11">
        <v>44</v>
      </c>
      <c r="BO12" s="11">
        <v>104</v>
      </c>
      <c r="BP12" s="11">
        <v>58</v>
      </c>
      <c r="BQ12" s="11">
        <f t="shared" si="0"/>
        <v>5548</v>
      </c>
      <c r="BR12" s="11">
        <v>85</v>
      </c>
      <c r="BS12" s="11">
        <v>52</v>
      </c>
      <c r="BT12" s="11">
        <v>44</v>
      </c>
      <c r="BU12" s="12">
        <v>54</v>
      </c>
      <c r="BV12" s="11">
        <v>48</v>
      </c>
      <c r="BW12" s="11">
        <v>69</v>
      </c>
      <c r="BX12" s="11">
        <v>35</v>
      </c>
      <c r="BY12" s="11">
        <v>74</v>
      </c>
      <c r="BZ12" s="13">
        <v>45</v>
      </c>
      <c r="CA12" s="13">
        <v>42</v>
      </c>
      <c r="CB12" s="13">
        <v>74</v>
      </c>
      <c r="CC12" s="13">
        <v>55</v>
      </c>
      <c r="CD12" s="14">
        <f t="shared" si="1"/>
        <v>6225</v>
      </c>
      <c r="CE12" s="23" t="s">
        <v>12</v>
      </c>
    </row>
    <row r="13" spans="1:83" ht="55.5" customHeight="1" x14ac:dyDescent="0.4">
      <c r="A13" s="23" t="s">
        <v>13</v>
      </c>
      <c r="B13" s="8">
        <v>515</v>
      </c>
      <c r="C13" s="8">
        <v>398</v>
      </c>
      <c r="D13" s="8">
        <v>348</v>
      </c>
      <c r="E13" s="8">
        <v>157</v>
      </c>
      <c r="F13" s="8">
        <v>135</v>
      </c>
      <c r="G13" s="8">
        <v>253</v>
      </c>
      <c r="H13" s="8">
        <v>36</v>
      </c>
      <c r="I13" s="8">
        <v>25</v>
      </c>
      <c r="J13" s="8">
        <v>44</v>
      </c>
      <c r="K13" s="8">
        <v>104</v>
      </c>
      <c r="L13" s="8">
        <v>90</v>
      </c>
      <c r="M13" s="8">
        <v>137</v>
      </c>
      <c r="N13" s="9">
        <v>168</v>
      </c>
      <c r="O13" s="9">
        <v>125</v>
      </c>
      <c r="P13" s="9">
        <v>51</v>
      </c>
      <c r="Q13" s="9">
        <v>32</v>
      </c>
      <c r="R13" s="9">
        <v>39</v>
      </c>
      <c r="S13" s="9">
        <v>43</v>
      </c>
      <c r="T13" s="9">
        <v>112</v>
      </c>
      <c r="U13" s="9">
        <v>81</v>
      </c>
      <c r="V13" s="9">
        <v>290</v>
      </c>
      <c r="W13" s="9">
        <v>321</v>
      </c>
      <c r="X13" s="9">
        <v>175</v>
      </c>
      <c r="Y13" s="9">
        <v>18</v>
      </c>
      <c r="Z13" s="9">
        <v>69</v>
      </c>
      <c r="AA13" s="9">
        <v>88</v>
      </c>
      <c r="AB13" s="9">
        <v>104</v>
      </c>
      <c r="AC13" s="9">
        <v>49</v>
      </c>
      <c r="AD13" s="9">
        <v>38</v>
      </c>
      <c r="AE13" s="9">
        <v>282</v>
      </c>
      <c r="AF13" s="9">
        <v>212</v>
      </c>
      <c r="AG13" s="9">
        <v>180</v>
      </c>
      <c r="AH13" s="9">
        <v>254</v>
      </c>
      <c r="AI13" s="9">
        <v>132</v>
      </c>
      <c r="AJ13" s="11">
        <v>85</v>
      </c>
      <c r="AK13" s="11">
        <v>56</v>
      </c>
      <c r="AL13" s="11">
        <v>69</v>
      </c>
      <c r="AM13" s="11">
        <v>65</v>
      </c>
      <c r="AN13" s="11">
        <v>77</v>
      </c>
      <c r="AO13" s="11">
        <v>58</v>
      </c>
      <c r="AP13" s="11">
        <v>94</v>
      </c>
      <c r="AQ13" s="11">
        <v>163</v>
      </c>
      <c r="AR13" s="11">
        <v>123</v>
      </c>
      <c r="AS13" s="11">
        <v>158</v>
      </c>
      <c r="AT13" s="11">
        <v>107</v>
      </c>
      <c r="AU13" s="11">
        <v>158</v>
      </c>
      <c r="AV13" s="11">
        <v>183</v>
      </c>
      <c r="AW13" s="11">
        <v>214</v>
      </c>
      <c r="AX13" s="11">
        <v>153</v>
      </c>
      <c r="AY13" s="11">
        <v>150</v>
      </c>
      <c r="AZ13" s="11">
        <v>150</v>
      </c>
      <c r="BA13" s="11">
        <v>90</v>
      </c>
      <c r="BB13" s="11">
        <v>146</v>
      </c>
      <c r="BC13" s="11">
        <v>595</v>
      </c>
      <c r="BD13" s="11">
        <v>476</v>
      </c>
      <c r="BE13" s="11">
        <v>302</v>
      </c>
      <c r="BF13" s="11">
        <v>118</v>
      </c>
      <c r="BG13" s="11">
        <v>129</v>
      </c>
      <c r="BH13" s="11">
        <v>94</v>
      </c>
      <c r="BI13" s="11">
        <v>87</v>
      </c>
      <c r="BJ13" s="11">
        <v>176</v>
      </c>
      <c r="BK13" s="11">
        <v>96</v>
      </c>
      <c r="BL13" s="11">
        <v>116</v>
      </c>
      <c r="BM13" s="11">
        <v>61</v>
      </c>
      <c r="BN13" s="11">
        <v>70</v>
      </c>
      <c r="BO13" s="11">
        <v>165</v>
      </c>
      <c r="BP13" s="11">
        <v>161</v>
      </c>
      <c r="BQ13" s="11">
        <f t="shared" si="0"/>
        <v>10050</v>
      </c>
      <c r="BR13" s="11">
        <v>138</v>
      </c>
      <c r="BS13" s="11">
        <v>144</v>
      </c>
      <c r="BT13" s="11">
        <v>191</v>
      </c>
      <c r="BU13" s="12">
        <v>633</v>
      </c>
      <c r="BV13" s="11">
        <v>151</v>
      </c>
      <c r="BW13" s="11">
        <v>217</v>
      </c>
      <c r="BX13" s="11">
        <v>172</v>
      </c>
      <c r="BY13" s="11">
        <v>867</v>
      </c>
      <c r="BZ13" s="13">
        <v>590</v>
      </c>
      <c r="CA13" s="13">
        <v>672</v>
      </c>
      <c r="CB13" s="13">
        <v>835</v>
      </c>
      <c r="CC13" s="13">
        <v>498</v>
      </c>
      <c r="CD13" s="14">
        <f t="shared" si="1"/>
        <v>15158</v>
      </c>
      <c r="CE13" s="23" t="s">
        <v>13</v>
      </c>
    </row>
    <row r="14" spans="1:83" ht="55.5" customHeight="1" x14ac:dyDescent="0.4">
      <c r="A14" s="23" t="s">
        <v>14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8">
        <v>743</v>
      </c>
      <c r="M14" s="8">
        <v>276</v>
      </c>
      <c r="N14" s="9">
        <v>196</v>
      </c>
      <c r="O14" s="9">
        <v>129</v>
      </c>
      <c r="P14" s="9">
        <v>136</v>
      </c>
      <c r="Q14" s="9">
        <v>46</v>
      </c>
      <c r="R14" s="9">
        <v>65</v>
      </c>
      <c r="S14" s="9">
        <v>51</v>
      </c>
      <c r="T14" s="9">
        <v>45</v>
      </c>
      <c r="U14" s="9">
        <v>69</v>
      </c>
      <c r="V14" s="9">
        <v>38</v>
      </c>
      <c r="W14" s="9">
        <v>125</v>
      </c>
      <c r="X14" s="9">
        <v>121</v>
      </c>
      <c r="Y14" s="9">
        <v>55</v>
      </c>
      <c r="Z14" s="9">
        <v>53</v>
      </c>
      <c r="AA14" s="9">
        <v>68</v>
      </c>
      <c r="AB14" s="9">
        <v>87</v>
      </c>
      <c r="AC14" s="9">
        <v>51</v>
      </c>
      <c r="AD14" s="9">
        <v>43</v>
      </c>
      <c r="AE14" s="9">
        <v>87</v>
      </c>
      <c r="AF14" s="9">
        <v>69</v>
      </c>
      <c r="AG14" s="9">
        <v>82</v>
      </c>
      <c r="AH14" s="9">
        <v>215</v>
      </c>
      <c r="AI14" s="9">
        <v>306</v>
      </c>
      <c r="AJ14" s="11">
        <v>253</v>
      </c>
      <c r="AK14" s="11">
        <v>194</v>
      </c>
      <c r="AL14" s="11">
        <v>181</v>
      </c>
      <c r="AM14" s="11">
        <v>70</v>
      </c>
      <c r="AN14" s="11">
        <v>75</v>
      </c>
      <c r="AO14" s="11">
        <v>70</v>
      </c>
      <c r="AP14" s="11">
        <v>100</v>
      </c>
      <c r="AQ14" s="11">
        <v>153</v>
      </c>
      <c r="AR14" s="11">
        <v>73</v>
      </c>
      <c r="AS14" s="11">
        <v>62</v>
      </c>
      <c r="AT14" s="11">
        <v>59</v>
      </c>
      <c r="AU14" s="11">
        <v>63</v>
      </c>
      <c r="AV14" s="11">
        <v>70</v>
      </c>
      <c r="AW14" s="11">
        <v>59</v>
      </c>
      <c r="AX14" s="11">
        <v>54</v>
      </c>
      <c r="AY14" s="11">
        <v>46</v>
      </c>
      <c r="AZ14" s="11">
        <v>125</v>
      </c>
      <c r="BA14" s="11">
        <v>74</v>
      </c>
      <c r="BB14" s="11">
        <v>74</v>
      </c>
      <c r="BC14" s="11">
        <v>84</v>
      </c>
      <c r="BD14" s="11">
        <v>79</v>
      </c>
      <c r="BE14" s="11">
        <v>88</v>
      </c>
      <c r="BF14" s="11">
        <v>68</v>
      </c>
      <c r="BG14" s="11">
        <v>61</v>
      </c>
      <c r="BH14" s="11">
        <v>51</v>
      </c>
      <c r="BI14" s="11">
        <v>51</v>
      </c>
      <c r="BJ14" s="11">
        <v>52</v>
      </c>
      <c r="BK14" s="11">
        <v>27</v>
      </c>
      <c r="BL14" s="11">
        <v>72</v>
      </c>
      <c r="BM14" s="11">
        <v>31</v>
      </c>
      <c r="BN14" s="11">
        <v>54</v>
      </c>
      <c r="BO14" s="11">
        <v>55</v>
      </c>
      <c r="BP14" s="11">
        <v>41</v>
      </c>
      <c r="BQ14" s="11">
        <f t="shared" si="0"/>
        <v>5825</v>
      </c>
      <c r="BR14" s="11">
        <v>44</v>
      </c>
      <c r="BS14" s="11">
        <v>29</v>
      </c>
      <c r="BT14" s="11">
        <v>62</v>
      </c>
      <c r="BU14" s="12">
        <v>48</v>
      </c>
      <c r="BV14" s="11">
        <v>27</v>
      </c>
      <c r="BW14" s="11">
        <v>29</v>
      </c>
      <c r="BX14" s="11">
        <v>20</v>
      </c>
      <c r="BY14" s="11">
        <v>46</v>
      </c>
      <c r="BZ14" s="13">
        <v>28</v>
      </c>
      <c r="CA14" s="13">
        <v>31</v>
      </c>
      <c r="CB14" s="13">
        <v>44</v>
      </c>
      <c r="CC14" s="13">
        <v>36</v>
      </c>
      <c r="CD14" s="14">
        <f t="shared" si="1"/>
        <v>6269</v>
      </c>
      <c r="CE14" s="23" t="s">
        <v>14</v>
      </c>
    </row>
    <row r="15" spans="1:83" ht="55.5" customHeight="1" x14ac:dyDescent="0.4">
      <c r="A15" s="23" t="s">
        <v>16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8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11"/>
      <c r="AK15" s="11"/>
      <c r="AL15" s="11"/>
      <c r="AM15" s="11"/>
      <c r="AN15" s="11"/>
      <c r="AO15" s="11"/>
      <c r="AP15" s="11"/>
      <c r="AQ15" s="11"/>
      <c r="AR15" s="11">
        <v>127</v>
      </c>
      <c r="AS15" s="11">
        <v>140</v>
      </c>
      <c r="AT15" s="11">
        <v>96</v>
      </c>
      <c r="AU15" s="11">
        <v>84</v>
      </c>
      <c r="AV15" s="11">
        <v>88</v>
      </c>
      <c r="AW15" s="11">
        <v>127</v>
      </c>
      <c r="AX15" s="11">
        <v>112</v>
      </c>
      <c r="AY15" s="11">
        <v>108</v>
      </c>
      <c r="AZ15" s="11">
        <v>137</v>
      </c>
      <c r="BA15" s="11">
        <v>91</v>
      </c>
      <c r="BB15" s="11">
        <v>104</v>
      </c>
      <c r="BC15" s="11">
        <v>134</v>
      </c>
      <c r="BD15" s="11">
        <v>151</v>
      </c>
      <c r="BE15" s="11">
        <v>140</v>
      </c>
      <c r="BF15" s="11">
        <v>86</v>
      </c>
      <c r="BG15" s="11">
        <v>154</v>
      </c>
      <c r="BH15" s="11">
        <v>144</v>
      </c>
      <c r="BI15" s="11">
        <v>92</v>
      </c>
      <c r="BJ15" s="11">
        <v>98</v>
      </c>
      <c r="BK15" s="11">
        <v>93</v>
      </c>
      <c r="BL15" s="11">
        <v>103</v>
      </c>
      <c r="BM15" s="11">
        <v>52</v>
      </c>
      <c r="BN15" s="11">
        <v>63</v>
      </c>
      <c r="BO15" s="11">
        <v>99</v>
      </c>
      <c r="BP15" s="11">
        <v>86</v>
      </c>
      <c r="BQ15" s="11">
        <f t="shared" si="0"/>
        <v>2709</v>
      </c>
      <c r="BR15" s="11">
        <v>101</v>
      </c>
      <c r="BS15" s="11">
        <v>59</v>
      </c>
      <c r="BT15" s="11">
        <v>89</v>
      </c>
      <c r="BU15" s="12">
        <v>119</v>
      </c>
      <c r="BV15" s="11">
        <v>64</v>
      </c>
      <c r="BW15" s="11">
        <v>79</v>
      </c>
      <c r="BX15" s="11">
        <v>48</v>
      </c>
      <c r="BY15" s="11">
        <v>108</v>
      </c>
      <c r="BZ15" s="13">
        <v>58</v>
      </c>
      <c r="CA15" s="13">
        <v>77</v>
      </c>
      <c r="CB15" s="13">
        <v>106</v>
      </c>
      <c r="CC15" s="13">
        <v>71</v>
      </c>
      <c r="CD15" s="14">
        <f t="shared" si="1"/>
        <v>3688</v>
      </c>
      <c r="CE15" s="23" t="s">
        <v>16</v>
      </c>
    </row>
    <row r="16" spans="1:83" ht="55.5" customHeight="1" x14ac:dyDescent="0.4">
      <c r="A16" s="23" t="s">
        <v>15</v>
      </c>
      <c r="B16" s="9"/>
      <c r="C16" s="9"/>
      <c r="D16" s="9"/>
      <c r="E16" s="9"/>
      <c r="F16" s="9"/>
      <c r="G16" s="9"/>
      <c r="H16" s="8">
        <v>40</v>
      </c>
      <c r="I16" s="8">
        <v>7</v>
      </c>
      <c r="J16" s="8">
        <v>12</v>
      </c>
      <c r="K16" s="8">
        <v>6</v>
      </c>
      <c r="L16" s="8">
        <v>9</v>
      </c>
      <c r="M16" s="8">
        <v>8</v>
      </c>
      <c r="N16" s="9">
        <v>32</v>
      </c>
      <c r="O16" s="9">
        <v>17</v>
      </c>
      <c r="P16" s="9">
        <v>9</v>
      </c>
      <c r="Q16" s="9">
        <v>3</v>
      </c>
      <c r="R16" s="9">
        <v>3</v>
      </c>
      <c r="S16" s="9">
        <v>13</v>
      </c>
      <c r="T16" s="9">
        <v>9</v>
      </c>
      <c r="U16" s="9">
        <v>5</v>
      </c>
      <c r="V16" s="9">
        <v>8</v>
      </c>
      <c r="W16" s="9">
        <v>91</v>
      </c>
      <c r="X16" s="9">
        <v>10</v>
      </c>
      <c r="Y16" s="9">
        <v>1</v>
      </c>
      <c r="Z16" s="9">
        <v>13</v>
      </c>
      <c r="AA16" s="9">
        <v>20</v>
      </c>
      <c r="AB16" s="9">
        <v>31</v>
      </c>
      <c r="AC16" s="9">
        <v>14</v>
      </c>
      <c r="AD16" s="9">
        <v>4</v>
      </c>
      <c r="AE16" s="9">
        <v>21</v>
      </c>
      <c r="AF16" s="9">
        <v>10</v>
      </c>
      <c r="AG16" s="9">
        <v>3</v>
      </c>
      <c r="AH16" s="9">
        <v>1</v>
      </c>
      <c r="AI16" s="9">
        <v>3</v>
      </c>
      <c r="AJ16" s="11">
        <v>5</v>
      </c>
      <c r="AK16" s="11">
        <v>0</v>
      </c>
      <c r="AL16" s="11">
        <v>117</v>
      </c>
      <c r="AM16" s="11">
        <v>21</v>
      </c>
      <c r="AN16" s="11">
        <v>17</v>
      </c>
      <c r="AO16" s="11">
        <v>13</v>
      </c>
      <c r="AP16" s="11">
        <v>28</v>
      </c>
      <c r="AQ16" s="11">
        <v>29</v>
      </c>
      <c r="AR16" s="11">
        <v>22</v>
      </c>
      <c r="AS16" s="11">
        <v>25</v>
      </c>
      <c r="AT16" s="11">
        <v>23</v>
      </c>
      <c r="AU16" s="11">
        <v>22</v>
      </c>
      <c r="AV16" s="11">
        <v>33</v>
      </c>
      <c r="AW16" s="11">
        <v>28</v>
      </c>
      <c r="AX16" s="11">
        <v>26</v>
      </c>
      <c r="AY16" s="11">
        <v>20</v>
      </c>
      <c r="AZ16" s="11">
        <v>27</v>
      </c>
      <c r="BA16" s="11">
        <v>30</v>
      </c>
      <c r="BB16" s="11">
        <v>26</v>
      </c>
      <c r="BC16" s="11">
        <v>20</v>
      </c>
      <c r="BD16" s="11">
        <v>20</v>
      </c>
      <c r="BE16" s="11">
        <v>25</v>
      </c>
      <c r="BF16" s="11">
        <v>19</v>
      </c>
      <c r="BG16" s="11">
        <v>18</v>
      </c>
      <c r="BH16" s="11">
        <v>20</v>
      </c>
      <c r="BI16" s="11">
        <v>11</v>
      </c>
      <c r="BJ16" s="11">
        <v>17</v>
      </c>
      <c r="BK16" s="11">
        <v>14</v>
      </c>
      <c r="BL16" s="11">
        <v>21</v>
      </c>
      <c r="BM16" s="11">
        <v>13</v>
      </c>
      <c r="BN16" s="11">
        <v>16</v>
      </c>
      <c r="BO16" s="11">
        <v>20</v>
      </c>
      <c r="BP16" s="11">
        <v>22</v>
      </c>
      <c r="BQ16" s="11">
        <f>SUM(B16:BP16)</f>
        <v>1171</v>
      </c>
      <c r="BR16" s="11">
        <v>17</v>
      </c>
      <c r="BS16" s="11">
        <v>15</v>
      </c>
      <c r="BT16" s="11">
        <v>27</v>
      </c>
      <c r="BU16" s="12">
        <v>15</v>
      </c>
      <c r="BV16" s="11">
        <v>16</v>
      </c>
      <c r="BW16" s="11">
        <v>12</v>
      </c>
      <c r="BX16" s="11">
        <v>6</v>
      </c>
      <c r="BY16" s="11">
        <v>16</v>
      </c>
      <c r="BZ16" s="13">
        <v>18</v>
      </c>
      <c r="CA16" s="13">
        <v>14</v>
      </c>
      <c r="CB16" s="13">
        <v>15</v>
      </c>
      <c r="CC16" s="13">
        <v>13</v>
      </c>
      <c r="CD16" s="14">
        <f>SUM(BQ16:CC16)</f>
        <v>1355</v>
      </c>
      <c r="CE16" s="23" t="s">
        <v>15</v>
      </c>
    </row>
    <row r="17" spans="1:83" ht="55.5" customHeight="1" thickBot="1" x14ac:dyDescent="0.45">
      <c r="A17" s="23" t="s">
        <v>18</v>
      </c>
      <c r="B17" s="9"/>
      <c r="C17" s="9"/>
      <c r="D17" s="9"/>
      <c r="E17" s="9"/>
      <c r="F17" s="9"/>
      <c r="G17" s="9"/>
      <c r="H17" s="8">
        <v>40</v>
      </c>
      <c r="I17" s="8">
        <v>7</v>
      </c>
      <c r="J17" s="8">
        <v>12</v>
      </c>
      <c r="K17" s="8">
        <v>6</v>
      </c>
      <c r="L17" s="8">
        <v>9</v>
      </c>
      <c r="M17" s="8">
        <v>8</v>
      </c>
      <c r="N17" s="9">
        <v>32</v>
      </c>
      <c r="O17" s="9">
        <v>17</v>
      </c>
      <c r="P17" s="9">
        <v>9</v>
      </c>
      <c r="Q17" s="9">
        <v>3</v>
      </c>
      <c r="R17" s="9">
        <v>3</v>
      </c>
      <c r="S17" s="9">
        <v>13</v>
      </c>
      <c r="T17" s="9">
        <v>9</v>
      </c>
      <c r="U17" s="9">
        <v>5</v>
      </c>
      <c r="V17" s="9">
        <v>8</v>
      </c>
      <c r="W17" s="9">
        <v>91</v>
      </c>
      <c r="X17" s="9">
        <v>10</v>
      </c>
      <c r="Y17" s="9">
        <v>1</v>
      </c>
      <c r="Z17" s="9">
        <v>13</v>
      </c>
      <c r="AA17" s="9">
        <v>20</v>
      </c>
      <c r="AB17" s="9">
        <v>31</v>
      </c>
      <c r="AC17" s="9"/>
      <c r="AD17" s="9"/>
      <c r="AE17" s="9"/>
      <c r="AF17" s="9"/>
      <c r="AG17" s="9"/>
      <c r="AH17" s="9"/>
      <c r="AI17" s="9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>
        <v>47</v>
      </c>
      <c r="BP17" s="11">
        <v>212</v>
      </c>
      <c r="BQ17" s="11">
        <f>SUM(AR17:BP17)</f>
        <v>259</v>
      </c>
      <c r="BR17" s="11">
        <v>186</v>
      </c>
      <c r="BS17" s="11">
        <v>112</v>
      </c>
      <c r="BT17" s="11">
        <v>132</v>
      </c>
      <c r="BU17" s="12">
        <v>109</v>
      </c>
      <c r="BV17" s="11">
        <v>71</v>
      </c>
      <c r="BW17" s="11">
        <v>88</v>
      </c>
      <c r="BX17" s="11">
        <v>87</v>
      </c>
      <c r="BY17" s="11">
        <v>84</v>
      </c>
      <c r="BZ17" s="13">
        <v>59</v>
      </c>
      <c r="CA17" s="13">
        <v>71</v>
      </c>
      <c r="CB17" s="13">
        <v>102</v>
      </c>
      <c r="CC17" s="13">
        <v>58</v>
      </c>
      <c r="CD17" s="14">
        <f>SUM(BQ17:CC17)</f>
        <v>1418</v>
      </c>
      <c r="CE17" s="28" t="s">
        <v>19</v>
      </c>
    </row>
    <row r="18" spans="1:83" s="1" customFormat="1" ht="55.5" customHeight="1" thickTop="1" x14ac:dyDescent="0.4">
      <c r="A18" s="21">
        <f>COUNTA(A3:A17)</f>
        <v>15</v>
      </c>
      <c r="B18" s="16">
        <f t="shared" ref="B18:G18" si="2">SUM(B3:B13)</f>
        <v>2871</v>
      </c>
      <c r="C18" s="16">
        <f t="shared" si="2"/>
        <v>2662</v>
      </c>
      <c r="D18" s="16">
        <f t="shared" si="2"/>
        <v>1860</v>
      </c>
      <c r="E18" s="16">
        <f t="shared" si="2"/>
        <v>940</v>
      </c>
      <c r="F18" s="16">
        <f t="shared" si="2"/>
        <v>1326</v>
      </c>
      <c r="G18" s="16">
        <f t="shared" si="2"/>
        <v>1704</v>
      </c>
      <c r="H18" s="16">
        <f>SUM(H3:H17)</f>
        <v>268</v>
      </c>
      <c r="I18" s="16">
        <f>SUM(I3:I17)</f>
        <v>153</v>
      </c>
      <c r="J18" s="16">
        <f>SUM(J3:J17)</f>
        <v>430</v>
      </c>
      <c r="K18" s="16">
        <f>SUM(K3:K17)</f>
        <v>474</v>
      </c>
      <c r="L18" s="16">
        <f>SUM(L3:L17)</f>
        <v>1169</v>
      </c>
      <c r="M18" s="16">
        <f>SUM(M3:M13)</f>
        <v>627</v>
      </c>
      <c r="N18" s="16">
        <f t="shared" ref="N18:BA18" si="3">SUM(N3:N17)</f>
        <v>1521</v>
      </c>
      <c r="O18" s="16">
        <f t="shared" si="3"/>
        <v>987</v>
      </c>
      <c r="P18" s="16">
        <f t="shared" si="3"/>
        <v>704</v>
      </c>
      <c r="Q18" s="16">
        <f t="shared" si="3"/>
        <v>318</v>
      </c>
      <c r="R18" s="16">
        <f t="shared" si="3"/>
        <v>361</v>
      </c>
      <c r="S18" s="16">
        <f t="shared" si="3"/>
        <v>584</v>
      </c>
      <c r="T18" s="16">
        <f t="shared" si="3"/>
        <v>725</v>
      </c>
      <c r="U18" s="16">
        <f t="shared" si="3"/>
        <v>574</v>
      </c>
      <c r="V18" s="16">
        <f t="shared" si="3"/>
        <v>1073</v>
      </c>
      <c r="W18" s="16">
        <f t="shared" si="3"/>
        <v>3330</v>
      </c>
      <c r="X18" s="16">
        <f t="shared" si="3"/>
        <v>2167</v>
      </c>
      <c r="Y18" s="16">
        <f t="shared" si="3"/>
        <v>142</v>
      </c>
      <c r="Z18" s="16">
        <f t="shared" si="3"/>
        <v>1712</v>
      </c>
      <c r="AA18" s="16">
        <f t="shared" si="3"/>
        <v>1130</v>
      </c>
      <c r="AB18" s="16">
        <f t="shared" si="3"/>
        <v>1530</v>
      </c>
      <c r="AC18" s="16">
        <f t="shared" si="3"/>
        <v>614</v>
      </c>
      <c r="AD18" s="16">
        <f t="shared" si="3"/>
        <v>506</v>
      </c>
      <c r="AE18" s="16">
        <f t="shared" si="3"/>
        <v>1205</v>
      </c>
      <c r="AF18" s="16">
        <f t="shared" si="3"/>
        <v>1855</v>
      </c>
      <c r="AG18" s="16">
        <f t="shared" si="3"/>
        <v>1268</v>
      </c>
      <c r="AH18" s="16">
        <f t="shared" si="3"/>
        <v>1389</v>
      </c>
      <c r="AI18" s="16">
        <f t="shared" si="3"/>
        <v>1291</v>
      </c>
      <c r="AJ18" s="16">
        <f t="shared" si="3"/>
        <v>1158</v>
      </c>
      <c r="AK18" s="16">
        <f t="shared" si="3"/>
        <v>956</v>
      </c>
      <c r="AL18" s="16">
        <f t="shared" si="3"/>
        <v>1005</v>
      </c>
      <c r="AM18" s="16">
        <f t="shared" si="3"/>
        <v>746</v>
      </c>
      <c r="AN18" s="16">
        <f t="shared" si="3"/>
        <v>836</v>
      </c>
      <c r="AO18" s="16">
        <f t="shared" si="3"/>
        <v>1089</v>
      </c>
      <c r="AP18" s="16">
        <f t="shared" si="3"/>
        <v>1273</v>
      </c>
      <c r="AQ18" s="16">
        <f t="shared" si="3"/>
        <v>1687</v>
      </c>
      <c r="AR18" s="16">
        <f t="shared" si="3"/>
        <v>1202</v>
      </c>
      <c r="AS18" s="16">
        <f t="shared" si="3"/>
        <v>1494</v>
      </c>
      <c r="AT18" s="17">
        <f t="shared" si="3"/>
        <v>1302</v>
      </c>
      <c r="AU18" s="17">
        <f t="shared" si="3"/>
        <v>1198</v>
      </c>
      <c r="AV18" s="17">
        <f t="shared" si="3"/>
        <v>1600</v>
      </c>
      <c r="AW18" s="17">
        <f t="shared" si="3"/>
        <v>1349</v>
      </c>
      <c r="AX18" s="17">
        <f t="shared" si="3"/>
        <v>1115</v>
      </c>
      <c r="AY18" s="17">
        <f t="shared" si="3"/>
        <v>1114</v>
      </c>
      <c r="AZ18" s="17">
        <f t="shared" si="3"/>
        <v>1800</v>
      </c>
      <c r="BA18" s="17">
        <f t="shared" si="3"/>
        <v>1015</v>
      </c>
      <c r="BB18" s="17">
        <f t="shared" ref="BB18:BD18" si="4">SUM(BB3:BB17)</f>
        <v>1203</v>
      </c>
      <c r="BC18" s="17">
        <f>SUM(BC3:BC17)</f>
        <v>2103</v>
      </c>
      <c r="BD18" s="17">
        <f t="shared" si="4"/>
        <v>1775</v>
      </c>
      <c r="BE18" s="17">
        <v>1670</v>
      </c>
      <c r="BF18" s="17">
        <v>1132</v>
      </c>
      <c r="BG18" s="17">
        <v>1286</v>
      </c>
      <c r="BH18" s="17">
        <v>1489</v>
      </c>
      <c r="BI18" s="17">
        <v>1183</v>
      </c>
      <c r="BJ18" s="17">
        <v>1507</v>
      </c>
      <c r="BK18" s="17">
        <v>1120</v>
      </c>
      <c r="BL18" s="17">
        <v>1459</v>
      </c>
      <c r="BM18" s="17">
        <v>1027</v>
      </c>
      <c r="BN18" s="17">
        <v>1279</v>
      </c>
      <c r="BO18" s="17">
        <v>1720</v>
      </c>
      <c r="BP18" s="17">
        <v>1634</v>
      </c>
      <c r="BQ18" s="17">
        <f>SUM(BQ3:BQ17)</f>
        <v>82941</v>
      </c>
      <c r="BR18" s="17">
        <v>1878</v>
      </c>
      <c r="BS18" s="17">
        <v>1436</v>
      </c>
      <c r="BT18" s="17">
        <v>1864</v>
      </c>
      <c r="BU18" s="17">
        <v>2593</v>
      </c>
      <c r="BV18" s="17">
        <v>1218</v>
      </c>
      <c r="BW18" s="17">
        <v>1205</v>
      </c>
      <c r="BX18" s="17">
        <v>944</v>
      </c>
      <c r="BY18" s="17">
        <v>2075</v>
      </c>
      <c r="BZ18" s="17">
        <v>1513</v>
      </c>
      <c r="CA18" s="17">
        <v>1581</v>
      </c>
      <c r="CB18" s="17">
        <v>2016</v>
      </c>
      <c r="CC18" s="17">
        <f t="shared" ref="CC18" si="5">SUM(CC3:CC17)</f>
        <v>1385</v>
      </c>
      <c r="CD18" s="18">
        <f>SUM(CD3:CD17)</f>
        <v>102649</v>
      </c>
    </row>
    <row r="20" spans="1:83" ht="38.450000000000003" hidden="1" customHeight="1" x14ac:dyDescent="0.4">
      <c r="BQ20" s="26">
        <f>BQ18</f>
        <v>82941</v>
      </c>
      <c r="BR20" s="26">
        <f>BQ20+BR18</f>
        <v>84819</v>
      </c>
      <c r="BS20" s="26">
        <f t="shared" ref="BS20:CA20" si="6">BR20+BS18</f>
        <v>86255</v>
      </c>
      <c r="BT20" s="26">
        <f t="shared" si="6"/>
        <v>88119</v>
      </c>
      <c r="BU20" s="26">
        <f t="shared" si="6"/>
        <v>90712</v>
      </c>
      <c r="BV20" s="26">
        <f t="shared" si="6"/>
        <v>91930</v>
      </c>
      <c r="BW20" s="26">
        <f t="shared" si="6"/>
        <v>93135</v>
      </c>
      <c r="BX20" s="26">
        <f t="shared" si="6"/>
        <v>94079</v>
      </c>
      <c r="BY20" s="26">
        <f t="shared" si="6"/>
        <v>96154</v>
      </c>
      <c r="BZ20" s="26">
        <f t="shared" si="6"/>
        <v>97667</v>
      </c>
      <c r="CA20" s="26">
        <f t="shared" si="6"/>
        <v>99248</v>
      </c>
      <c r="CB20" s="26">
        <f>CA20+CB18</f>
        <v>101264</v>
      </c>
      <c r="CC20" s="26">
        <f>CB20+CC18</f>
        <v>102649</v>
      </c>
    </row>
    <row r="24" spans="1:83" ht="38.450000000000003" customHeight="1" x14ac:dyDescent="0.4">
      <c r="AZ24" s="2" t="s">
        <v>20</v>
      </c>
    </row>
    <row r="26" spans="1:83" s="20" customFormat="1" ht="38.450000000000003" customHeight="1" x14ac:dyDescent="0.4">
      <c r="A26" s="1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</row>
    <row r="30" spans="1:83" ht="38.450000000000003" customHeight="1" x14ac:dyDescent="0.4">
      <c r="AY30" s="2" t="s">
        <v>17</v>
      </c>
    </row>
  </sheetData>
  <phoneticPr fontId="1"/>
  <pageMargins left="0.7" right="0.7" top="0.75" bottom="0.75" header="0.3" footer="0.3"/>
  <pageSetup paperSize="9" scale="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登録者数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今村裕一</dc:creator>
  <cp:lastModifiedBy>AILC-12</cp:lastModifiedBy>
  <cp:lastPrinted>2026-05-01T00:45:04Z</cp:lastPrinted>
  <dcterms:created xsi:type="dcterms:W3CDTF">2016-09-01T01:33:05Z</dcterms:created>
  <dcterms:modified xsi:type="dcterms:W3CDTF">2026-05-01T00:45:26Z</dcterms:modified>
</cp:coreProperties>
</file>