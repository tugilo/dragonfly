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宝来屋" sheetId="1" r:id="rId1"/>
    <sheet name="宝来屋 (2)" sheetId="2" r:id="rId2"/>
  </sheets>
  <definedNames>
    <definedName name="_xlnm.Print_Area" localSheetId="0">宝来屋!$A$7:$P$24</definedName>
    <definedName name="_xlnm.Print_Area" localSheetId="1">'宝来屋 (2)'!$A$7:$P$53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9" i="1"/>
  <c r="O18" i="1"/>
  <c r="O12" i="1" l="1"/>
  <c r="O13" i="2"/>
  <c r="O12" i="2"/>
  <c r="O11" i="2"/>
  <c r="O10" i="2"/>
  <c r="O9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E4" i="2"/>
  <c r="D4" i="2"/>
  <c r="C4" i="2"/>
  <c r="O4" i="2" s="1"/>
  <c r="N3" i="2"/>
  <c r="M3" i="2"/>
  <c r="L3" i="2"/>
  <c r="K3" i="2"/>
  <c r="J3" i="2"/>
  <c r="I3" i="2"/>
  <c r="H3" i="2"/>
  <c r="G3" i="2"/>
  <c r="F3" i="2"/>
  <c r="E3" i="2"/>
  <c r="D3" i="2"/>
  <c r="C3" i="2"/>
  <c r="O3" i="2" s="1"/>
  <c r="N2" i="2"/>
  <c r="M2" i="2"/>
  <c r="L2" i="2"/>
  <c r="K2" i="2"/>
  <c r="J2" i="2"/>
  <c r="I2" i="2"/>
  <c r="H2" i="2"/>
  <c r="G2" i="2"/>
  <c r="F2" i="2"/>
  <c r="E2" i="2"/>
  <c r="D2" i="2"/>
  <c r="C2" i="2"/>
  <c r="O2" i="2" s="1"/>
  <c r="O11" i="1"/>
  <c r="D2" i="1" l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C3" i="1"/>
  <c r="C4" i="1"/>
  <c r="C5" i="1"/>
  <c r="C2" i="1"/>
  <c r="O2" i="1" l="1"/>
  <c r="O5" i="1"/>
  <c r="O4" i="1"/>
  <c r="O3" i="1"/>
  <c r="O14" i="1"/>
  <c r="O13" i="1"/>
  <c r="O10" i="1"/>
  <c r="O9" i="1"/>
</calcChain>
</file>

<file path=xl/sharedStrings.xml><?xml version="1.0" encoding="utf-8"?>
<sst xmlns="http://schemas.openxmlformats.org/spreadsheetml/2006/main" count="95" uniqueCount="28">
  <si>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</si>
  <si>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</si>
  <si>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</si>
  <si>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</si>
  <si>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</si>
  <si>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</si>
  <si>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</si>
  <si>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</si>
  <si>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7月</t>
  </si>
  <si>
    <t>11月</t>
  </si>
  <si>
    <t>8月</t>
  </si>
  <si>
    <t>9月</t>
  </si>
  <si>
    <t>1月</t>
  </si>
  <si>
    <t>2024/1月</t>
    <phoneticPr fontId="2"/>
  </si>
  <si>
    <t>スタンプクーポン</t>
    <phoneticPr fontId="2"/>
  </si>
  <si>
    <t>10月</t>
  </si>
  <si>
    <t>2024/6月</t>
    <phoneticPr fontId="2"/>
  </si>
  <si>
    <t>2024年6月～2024年5月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</si>
  <si>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7月</t>
    <phoneticPr fontId="2"/>
  </si>
  <si>
    <t>6月</t>
    <phoneticPr fontId="2"/>
  </si>
  <si>
    <t>5月</t>
  </si>
  <si>
    <t>閲覧数</t>
    <rPh sb="0" eb="2">
      <t>エツラン</t>
    </rPh>
    <rPh sb="2" eb="3">
      <t>スウ</t>
    </rPh>
    <phoneticPr fontId="2"/>
  </si>
  <si>
    <t>閲覧数</t>
    <rPh sb="0" eb="3">
      <t>エツランスウ</t>
    </rPh>
    <phoneticPr fontId="2"/>
  </si>
  <si>
    <t>5/29~6/25</t>
    <phoneticPr fontId="2"/>
  </si>
  <si>
    <t>友達紹介</t>
    <rPh sb="0" eb="4">
      <t>トモダチショウカイ</t>
    </rPh>
    <phoneticPr fontId="2"/>
  </si>
  <si>
    <t>2025年6月～2026年5月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</si>
  <si>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2024年6月～2025年5月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</si>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</sst>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'宝来屋 (2)'!$B$7</c:f>
              <c:strCache>
                <c:ptCount val="1"/>
                <c:pt idx="0">
                  <c:v>2024年6月～2024年5月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'宝来屋 (2)'!$C$8:$N$8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'宝来屋 (2)'!$C$9:$N$9</c:f>
              <c:numCache>
                <c:formatCode>General</c:formatCode>
                <c:ptCount val="12"/>
                <c:pt idx="0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747-4BA7-AC67-8A48FB659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2064"/>
        <c:axId val="472535592"/>
        <c:extLst xmlns:c16r2="http://schemas.microsoft.com/office/drawing/2015/06/chart"/>
      </c:barChart>
      <c:catAx>
        <c:axId val="47253206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5592"/>
        <c:crosses val="autoZero"/>
        <c:auto val="1"/>
        <c:lblAlgn val="ctr"/>
        <c:lblOffset val="100"/>
        <c:noMultiLvlLbl val="0"/>
      </c:catAx>
      <c:valAx>
        <c:axId val="47253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23805037261089"/>
          <c:y val="5.1966977964963683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3690682241559642"/>
          <c:h val="0.76647281294562586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'宝来屋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'宝来屋 (2)'!$C$1:$N$1</c:f>
              <c:strCache>
                <c:ptCount val="12"/>
                <c:pt idx="0">
                  <c:v>2024/6月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2024/1月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'宝来屋 (2)'!$C$5:$N$5</c:f>
              <c:numCache>
                <c:formatCode>General</c:formatCode>
                <c:ptCount val="12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761-4E9B-98E1-9563CC872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2848"/>
        <c:axId val="472533632"/>
        <c:extLst xmlns:c16r2="http://schemas.microsoft.com/office/drawing/2015/06/chart"/>
      </c:barChart>
      <c:catAx>
        <c:axId val="47253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3632"/>
        <c:crosses val="autoZero"/>
        <c:auto val="1"/>
        <c:lblAlgn val="ctr"/>
        <c:lblOffset val="100"/>
        <c:noMultiLvlLbl val="0"/>
      </c:catAx>
      <c:valAx>
        <c:axId val="4725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'宝来屋 (2)'!$B$7</c:f>
              <c:strCache>
                <c:ptCount val="1"/>
                <c:pt idx="0">
                  <c:v>2024年6月～2024年5月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'宝来屋 (2)'!$C$8:$N$8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'宝来屋 (2)'!$C$10:$N$10</c:f>
              <c:numCache>
                <c:formatCode>General</c:formatCode>
                <c:ptCount val="12"/>
                <c:pt idx="0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FB-40EA-B103-8317BBE7A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7552"/>
        <c:axId val="472535200"/>
        <c:extLst xmlns:c16r2="http://schemas.microsoft.com/office/drawing/2015/06/chart"/>
      </c:barChart>
      <c:catAx>
        <c:axId val="47253755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5200"/>
        <c:crosses val="autoZero"/>
        <c:auto val="1"/>
        <c:lblAlgn val="ctr"/>
        <c:lblOffset val="100"/>
        <c:noMultiLvlLbl val="0"/>
      </c:catAx>
      <c:valAx>
        <c:axId val="4725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45204702597775"/>
          <c:y val="4.8113522192102305E-2"/>
          <c:w val="0.2466149002842789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'宝来屋 (2)'!$B$7</c:f>
              <c:strCache>
                <c:ptCount val="1"/>
                <c:pt idx="0">
                  <c:v>2024年6月～2024年5月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'宝来屋 (2)'!$C$8:$N$8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'宝来屋 (2)'!$C$11:$N$11</c:f>
              <c:numCache>
                <c:formatCode>General</c:formatCode>
                <c:ptCount val="12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02E-47BA-AB7B-2D84F07B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7944"/>
        <c:axId val="475657400"/>
        <c:extLst xmlns:c16r2="http://schemas.microsoft.com/office/drawing/2015/06/chart"/>
      </c:barChart>
      <c:catAx>
        <c:axId val="47253794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7400"/>
        <c:crosses val="autoZero"/>
        <c:auto val="1"/>
        <c:lblAlgn val="ctr"/>
        <c:lblOffset val="100"/>
        <c:noMultiLvlLbl val="0"/>
      </c:catAx>
      <c:valAx>
        <c:axId val="47565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23805037261089"/>
          <c:y val="5.1966977964963683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15</xdr:row>
      <xdr:rowOff>38099</xdr:rowOff>
    </xdr:from>
    <xdr:to>
      <xdr:col>7</xdr:col>
      <xdr:colOff>523875</xdr:colOff>
      <xdr:row>32</xdr:row>
      <xdr:rowOff>95249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55FFF57B-D123-4427-9BDC-9AF46CF8D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666750</xdr:colOff>
      <xdr:row>32</xdr:row>
      <xdr:rowOff>190500</xdr:rowOff>
    </xdr:from>
    <xdr:to>
      <xdr:col>15</xdr:col>
      <xdr:colOff>514351</xdr:colOff>
      <xdr:row>51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416AA607-609E-4189-95AC-98C7400A3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666750</xdr:colOff>
      <xdr:row>15</xdr:row>
      <xdr:rowOff>19049</xdr:rowOff>
    </xdr:from>
    <xdr:to>
      <xdr:col>15</xdr:col>
      <xdr:colOff>457200</xdr:colOff>
      <xdr:row>32</xdr:row>
      <xdr:rowOff>66675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3B55BD6A-511C-4575-B575-66C38C99D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247651</xdr:colOff>
      <xdr:row>33</xdr:row>
      <xdr:rowOff>19050</xdr:rowOff>
    </xdr:from>
    <xdr:to>
      <xdr:col>7</xdr:col>
      <xdr:colOff>571501</xdr:colOff>
      <xdr:row>51</xdr:row>
      <xdr:rowOff>38100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0B9434B4-F99F-4525-A43B-0F0F1855B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4"/>
  <sheetViews>
    <sheetView tabSelected="1" topLeftCell="A4" zoomScaleNormal="100" workbookViewId="0">
      <selection activeCell="M24" sqref="M24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16</v>
      </c>
      <c r="D1" s="7" t="s">
        <v>18</v>
      </c>
      <c r="E1" s="7" t="s">
        <v>10</v>
      </c>
      <c r="F1" s="7" t="s">
        <v>11</v>
      </c>
      <c r="G1" s="7" t="s">
        <v>15</v>
      </c>
      <c r="H1" s="7" t="s">
        <v>9</v>
      </c>
      <c r="I1" s="7" t="s">
        <v>7</v>
      </c>
      <c r="J1" s="7" t="s">
        <v>13</v>
      </c>
      <c r="K1" s="7" t="s">
        <v>6</v>
      </c>
      <c r="L1" s="7" t="s">
        <v>5</v>
      </c>
      <c r="M1" s="7" t="s">
        <v>4</v>
      </c>
      <c r="N1" s="7" t="s">
        <v>20</v>
      </c>
      <c r="O1" s="6" t="s">
        <v>3</v>
      </c>
    </row>
    <row r="2" spans="2:15" x14ac:dyDescent="0.15">
      <c r="B2" s="4" t="s">
        <v>2</v>
      </c>
      <c r="C2" s="4">
        <f>C9</f>
        <v>18</v>
      </c>
      <c r="D2" s="4">
        <f t="shared" ref="D2:N2" si="0">D9</f>
        <v>96</v>
      </c>
      <c r="E2" s="4">
        <f t="shared" si="0"/>
        <v>34</v>
      </c>
      <c r="F2" s="4">
        <f t="shared" si="0"/>
        <v>37</v>
      </c>
      <c r="G2" s="4">
        <f t="shared" si="0"/>
        <v>34</v>
      </c>
      <c r="H2" s="4">
        <f t="shared" si="0"/>
        <v>45</v>
      </c>
      <c r="I2" s="4">
        <f t="shared" si="0"/>
        <v>36</v>
      </c>
      <c r="J2" s="4">
        <f t="shared" si="0"/>
        <v>25</v>
      </c>
      <c r="K2" s="4">
        <f t="shared" si="0"/>
        <v>36</v>
      </c>
      <c r="L2" s="4">
        <f t="shared" si="0"/>
        <v>33</v>
      </c>
      <c r="M2" s="4">
        <f t="shared" si="0"/>
        <v>32</v>
      </c>
      <c r="N2" s="4">
        <f t="shared" si="0"/>
        <v>25</v>
      </c>
      <c r="O2" s="2">
        <f>SUM(C2:N2)</f>
        <v>451</v>
      </c>
    </row>
    <row r="3" spans="2:15" x14ac:dyDescent="0.15">
      <c r="B3" s="4" t="s">
        <v>1</v>
      </c>
      <c r="C3" s="4">
        <f t="shared" ref="C3:N3" si="1">C10</f>
        <v>6</v>
      </c>
      <c r="D3" s="4">
        <f t="shared" si="1"/>
        <v>3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2">
        <f t="shared" ref="O3:O5" si="2">SUM(C3:N3)</f>
        <v>9</v>
      </c>
    </row>
    <row r="4" spans="2:15" x14ac:dyDescent="0.15">
      <c r="B4" s="4" t="s">
        <v>21</v>
      </c>
      <c r="C4" s="4">
        <f t="shared" ref="C4:N4" si="3">C13</f>
        <v>12</v>
      </c>
      <c r="D4" s="4">
        <f t="shared" si="3"/>
        <v>89</v>
      </c>
      <c r="E4" s="4">
        <f t="shared" si="3"/>
        <v>85</v>
      </c>
      <c r="F4" s="4">
        <f t="shared" si="3"/>
        <v>80</v>
      </c>
      <c r="G4" s="4">
        <f t="shared" si="3"/>
        <v>80</v>
      </c>
      <c r="H4" s="4">
        <f t="shared" si="3"/>
        <v>77</v>
      </c>
      <c r="I4" s="4">
        <f t="shared" si="3"/>
        <v>45</v>
      </c>
      <c r="J4" s="4">
        <f t="shared" si="3"/>
        <v>31</v>
      </c>
      <c r="K4" s="4">
        <f t="shared" si="3"/>
        <v>51</v>
      </c>
      <c r="L4" s="4">
        <f t="shared" si="3"/>
        <v>35</v>
      </c>
      <c r="M4" s="4">
        <f t="shared" si="3"/>
        <v>37</v>
      </c>
      <c r="N4" s="4">
        <f t="shared" si="3"/>
        <v>29</v>
      </c>
      <c r="O4" s="2">
        <f t="shared" si="2"/>
        <v>651</v>
      </c>
    </row>
    <row r="5" spans="2:15" x14ac:dyDescent="0.15">
      <c r="B5" s="4" t="s">
        <v>0</v>
      </c>
      <c r="C5" s="4">
        <f t="shared" ref="C5:N5" si="4">C14</f>
        <v>53</v>
      </c>
      <c r="D5" s="4">
        <f t="shared" si="4"/>
        <v>5</v>
      </c>
      <c r="E5" s="4">
        <f t="shared" si="4"/>
        <v>4</v>
      </c>
      <c r="F5" s="4">
        <f t="shared" si="4"/>
        <v>0</v>
      </c>
      <c r="G5" s="4">
        <f t="shared" si="4"/>
        <v>2</v>
      </c>
      <c r="H5" s="4">
        <f t="shared" si="4"/>
        <v>1</v>
      </c>
      <c r="I5" s="4">
        <f t="shared" si="4"/>
        <v>4</v>
      </c>
      <c r="J5" s="4">
        <f t="shared" si="4"/>
        <v>2</v>
      </c>
      <c r="K5" s="4">
        <f t="shared" si="4"/>
        <v>0</v>
      </c>
      <c r="L5" s="4">
        <f t="shared" si="4"/>
        <v>3</v>
      </c>
      <c r="M5" s="4">
        <f t="shared" si="4"/>
        <v>3</v>
      </c>
      <c r="N5" s="4">
        <f t="shared" si="4"/>
        <v>2</v>
      </c>
      <c r="O5" s="2">
        <f t="shared" si="2"/>
        <v>79</v>
      </c>
    </row>
    <row r="6" spans="2:15" s="8" customFormat="1" ht="12" customHeight="1" x14ac:dyDescent="0.15">
      <c r="E6" s="9"/>
    </row>
    <row r="7" spans="2:15" ht="21" customHeight="1" x14ac:dyDescent="0.15">
      <c r="B7" s="1" t="s">
        <v>26</v>
      </c>
    </row>
    <row r="8" spans="2:15" ht="21" customHeight="1" x14ac:dyDescent="0.15">
      <c r="B8" s="7"/>
      <c r="C8" s="7" t="s">
        <v>19</v>
      </c>
      <c r="D8" s="7" t="s">
        <v>8</v>
      </c>
      <c r="E8" s="7" t="s">
        <v>10</v>
      </c>
      <c r="F8" s="7" t="s">
        <v>11</v>
      </c>
      <c r="G8" s="7" t="s">
        <v>15</v>
      </c>
      <c r="H8" s="7" t="s">
        <v>9</v>
      </c>
      <c r="I8" s="7" t="s">
        <v>7</v>
      </c>
      <c r="J8" s="7" t="s">
        <v>12</v>
      </c>
      <c r="K8" s="7" t="s">
        <v>6</v>
      </c>
      <c r="L8" s="7" t="s">
        <v>5</v>
      </c>
      <c r="M8" s="7" t="s">
        <v>4</v>
      </c>
      <c r="N8" s="7" t="s">
        <v>20</v>
      </c>
      <c r="O8" s="6" t="s">
        <v>3</v>
      </c>
    </row>
    <row r="9" spans="2:15" ht="21" customHeight="1" x14ac:dyDescent="0.15">
      <c r="B9" s="4" t="s">
        <v>2</v>
      </c>
      <c r="C9" s="4">
        <v>18</v>
      </c>
      <c r="D9" s="4">
        <v>96</v>
      </c>
      <c r="E9" s="4">
        <v>34</v>
      </c>
      <c r="F9" s="4">
        <v>37</v>
      </c>
      <c r="G9" s="4">
        <v>34</v>
      </c>
      <c r="H9" s="4">
        <v>45</v>
      </c>
      <c r="I9" s="4">
        <v>36</v>
      </c>
      <c r="J9" s="4">
        <v>25</v>
      </c>
      <c r="K9" s="4">
        <v>36</v>
      </c>
      <c r="L9" s="4">
        <v>33</v>
      </c>
      <c r="M9" s="3">
        <v>32</v>
      </c>
      <c r="N9" s="11">
        <v>25</v>
      </c>
      <c r="O9" s="2">
        <f t="shared" ref="O9:O14" si="5">SUM(C9:N9)</f>
        <v>451</v>
      </c>
    </row>
    <row r="10" spans="2:15" ht="21" customHeight="1" x14ac:dyDescent="0.15">
      <c r="B10" s="4" t="s">
        <v>1</v>
      </c>
      <c r="C10" s="4">
        <v>6</v>
      </c>
      <c r="D10" s="4">
        <v>3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3">
        <v>0</v>
      </c>
      <c r="N10" s="11">
        <v>0</v>
      </c>
      <c r="O10" s="2">
        <f t="shared" si="5"/>
        <v>9</v>
      </c>
    </row>
    <row r="11" spans="2:15" ht="21" customHeight="1" x14ac:dyDescent="0.15">
      <c r="B11" s="4" t="s">
        <v>14</v>
      </c>
      <c r="C11" s="4">
        <v>1</v>
      </c>
      <c r="D11" s="4">
        <v>7</v>
      </c>
      <c r="E11" s="4">
        <v>8</v>
      </c>
      <c r="F11" s="4">
        <v>14</v>
      </c>
      <c r="G11" s="4">
        <v>10</v>
      </c>
      <c r="H11" s="4">
        <v>11</v>
      </c>
      <c r="I11" s="4">
        <v>7</v>
      </c>
      <c r="J11" s="4">
        <v>4</v>
      </c>
      <c r="K11" s="4">
        <v>8</v>
      </c>
      <c r="L11" s="4">
        <v>8</v>
      </c>
      <c r="M11" s="3">
        <v>5</v>
      </c>
      <c r="N11" s="11">
        <v>5</v>
      </c>
      <c r="O11" s="2">
        <f t="shared" si="5"/>
        <v>88</v>
      </c>
    </row>
    <row r="12" spans="2:15" ht="21" customHeight="1" x14ac:dyDescent="0.15">
      <c r="B12" s="4" t="s">
        <v>24</v>
      </c>
      <c r="C12" s="4">
        <v>12</v>
      </c>
      <c r="D12" s="4">
        <v>0</v>
      </c>
      <c r="E12" s="4">
        <v>3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3">
        <v>0</v>
      </c>
      <c r="N12" s="11">
        <v>1</v>
      </c>
      <c r="O12" s="2">
        <f t="shared" si="5"/>
        <v>17</v>
      </c>
    </row>
    <row r="13" spans="2:15" ht="21" customHeight="1" x14ac:dyDescent="0.15">
      <c r="B13" s="4" t="s">
        <v>22</v>
      </c>
      <c r="C13" s="4">
        <v>12</v>
      </c>
      <c r="D13" s="4">
        <v>89</v>
      </c>
      <c r="E13" s="4">
        <v>85</v>
      </c>
      <c r="F13" s="4">
        <v>80</v>
      </c>
      <c r="G13" s="4">
        <v>80</v>
      </c>
      <c r="H13" s="4">
        <v>77</v>
      </c>
      <c r="I13" s="4">
        <v>45</v>
      </c>
      <c r="J13" s="4">
        <v>31</v>
      </c>
      <c r="K13" s="4">
        <v>51</v>
      </c>
      <c r="L13" s="4">
        <v>35</v>
      </c>
      <c r="M13" s="3">
        <v>37</v>
      </c>
      <c r="N13" s="3">
        <v>29</v>
      </c>
      <c r="O13" s="2">
        <f t="shared" si="5"/>
        <v>651</v>
      </c>
    </row>
    <row r="14" spans="2:15" ht="21" customHeight="1" x14ac:dyDescent="0.15">
      <c r="B14" s="4" t="s">
        <v>0</v>
      </c>
      <c r="C14" s="4">
        <v>53</v>
      </c>
      <c r="D14" s="4">
        <v>5</v>
      </c>
      <c r="E14" s="4">
        <v>4</v>
      </c>
      <c r="F14" s="4">
        <v>0</v>
      </c>
      <c r="G14" s="4">
        <v>2</v>
      </c>
      <c r="H14" s="4">
        <v>1</v>
      </c>
      <c r="I14" s="4">
        <v>4</v>
      </c>
      <c r="J14" s="4">
        <v>2</v>
      </c>
      <c r="K14" s="4">
        <v>0</v>
      </c>
      <c r="L14" s="4">
        <v>3</v>
      </c>
      <c r="M14" s="3">
        <v>3</v>
      </c>
      <c r="N14" s="3">
        <v>2</v>
      </c>
      <c r="O14" s="2">
        <f t="shared" si="5"/>
        <v>79</v>
      </c>
    </row>
    <row r="15" spans="2:15" ht="21" customHeight="1" x14ac:dyDescent="0.15">
      <c r="D15" s="10"/>
      <c r="E15" s="10"/>
      <c r="F15" s="10"/>
      <c r="G15" s="10"/>
      <c r="H15" s="10"/>
      <c r="K15" s="10"/>
      <c r="L15" s="10"/>
      <c r="M15" s="10"/>
      <c r="N15" s="10"/>
    </row>
    <row r="16" spans="2:15" ht="21" customHeight="1" x14ac:dyDescent="0.15">
      <c r="B16" s="1" t="s">
        <v>25</v>
      </c>
    </row>
    <row r="17" spans="2:15" ht="21" customHeight="1" x14ac:dyDescent="0.15">
      <c r="B17" s="7"/>
      <c r="C17" s="7" t="s">
        <v>19</v>
      </c>
      <c r="D17" s="7" t="s">
        <v>8</v>
      </c>
      <c r="E17" s="7" t="s">
        <v>10</v>
      </c>
      <c r="F17" s="7" t="s">
        <v>11</v>
      </c>
      <c r="G17" s="7" t="s">
        <v>15</v>
      </c>
      <c r="H17" s="7" t="s">
        <v>9</v>
      </c>
      <c r="I17" s="7" t="s">
        <v>7</v>
      </c>
      <c r="J17" s="7" t="s">
        <v>12</v>
      </c>
      <c r="K17" s="7" t="s">
        <v>6</v>
      </c>
      <c r="L17" s="7" t="s">
        <v>5</v>
      </c>
      <c r="M17" s="7" t="s">
        <v>4</v>
      </c>
      <c r="N17" s="7" t="s">
        <v>20</v>
      </c>
      <c r="O17" s="6" t="s">
        <v>3</v>
      </c>
    </row>
    <row r="18" spans="2:15" ht="21" customHeight="1" x14ac:dyDescent="0.15">
      <c r="B18" s="4" t="s">
        <v>2</v>
      </c>
      <c r="C18" s="4">
        <v>33</v>
      </c>
      <c r="D18" s="4">
        <v>31</v>
      </c>
      <c r="E18" s="4">
        <v>23</v>
      </c>
      <c r="F18" s="4">
        <v>32</v>
      </c>
      <c r="G18" s="4">
        <v>26</v>
      </c>
      <c r="H18" s="4">
        <v>34</v>
      </c>
      <c r="I18" s="4">
        <v>27</v>
      </c>
      <c r="J18" s="4">
        <v>20</v>
      </c>
      <c r="K18" s="4">
        <v>22</v>
      </c>
      <c r="L18" s="4">
        <v>25</v>
      </c>
      <c r="M18" s="3">
        <v>28</v>
      </c>
      <c r="N18" s="11"/>
      <c r="O18" s="2">
        <f t="shared" ref="O18:O22" si="6">SUM(C18:N18)</f>
        <v>301</v>
      </c>
    </row>
    <row r="19" spans="2:15" ht="21" customHeight="1" x14ac:dyDescent="0.15">
      <c r="B19" s="4" t="s">
        <v>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3">
        <v>0</v>
      </c>
      <c r="N19" s="11"/>
      <c r="O19" s="2">
        <f t="shared" si="6"/>
        <v>0</v>
      </c>
    </row>
    <row r="20" spans="2:15" ht="21" customHeight="1" x14ac:dyDescent="0.15">
      <c r="B20" s="4" t="s">
        <v>14</v>
      </c>
      <c r="C20" s="4">
        <v>5</v>
      </c>
      <c r="D20" s="4">
        <v>7</v>
      </c>
      <c r="E20" s="4">
        <v>5</v>
      </c>
      <c r="F20" s="4">
        <v>7</v>
      </c>
      <c r="G20" s="4">
        <v>5</v>
      </c>
      <c r="H20" s="4">
        <v>6</v>
      </c>
      <c r="I20" s="4">
        <v>6</v>
      </c>
      <c r="J20" s="4">
        <v>30</v>
      </c>
      <c r="K20" s="4">
        <v>5</v>
      </c>
      <c r="L20" s="4">
        <v>6</v>
      </c>
      <c r="M20" s="3">
        <v>6</v>
      </c>
      <c r="N20" s="11"/>
      <c r="O20" s="2">
        <f t="shared" si="6"/>
        <v>88</v>
      </c>
    </row>
    <row r="21" spans="2:15" ht="21" customHeight="1" x14ac:dyDescent="0.15">
      <c r="B21" s="4" t="s">
        <v>24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3">
        <v>0</v>
      </c>
      <c r="N21" s="11"/>
      <c r="O21" s="2">
        <f t="shared" si="6"/>
        <v>0</v>
      </c>
    </row>
    <row r="22" spans="2:15" ht="21" customHeight="1" x14ac:dyDescent="0.15">
      <c r="B22" s="4" t="s">
        <v>22</v>
      </c>
      <c r="C22" s="4">
        <v>35</v>
      </c>
      <c r="D22" s="4">
        <v>33</v>
      </c>
      <c r="E22" s="4">
        <v>26</v>
      </c>
      <c r="F22" s="4">
        <v>34</v>
      </c>
      <c r="G22" s="4">
        <v>28</v>
      </c>
      <c r="H22" s="4">
        <v>42</v>
      </c>
      <c r="I22" s="4">
        <v>28</v>
      </c>
      <c r="J22" s="4">
        <v>23</v>
      </c>
      <c r="K22" s="4">
        <v>24</v>
      </c>
      <c r="L22" s="4">
        <v>27</v>
      </c>
      <c r="M22" s="3">
        <v>26</v>
      </c>
      <c r="N22" s="3"/>
      <c r="O22" s="2">
        <f t="shared" si="6"/>
        <v>326</v>
      </c>
    </row>
    <row r="23" spans="2:15" ht="21" customHeight="1" x14ac:dyDescent="0.15">
      <c r="B23" s="4" t="s">
        <v>0</v>
      </c>
      <c r="C23" s="4">
        <v>0</v>
      </c>
      <c r="D23" s="4">
        <v>0</v>
      </c>
      <c r="E23" s="4">
        <v>0</v>
      </c>
      <c r="F23" s="4">
        <v>1</v>
      </c>
      <c r="G23" s="4">
        <v>3</v>
      </c>
      <c r="H23" s="4">
        <v>3</v>
      </c>
      <c r="I23" s="4">
        <v>0</v>
      </c>
      <c r="J23" s="4">
        <v>3</v>
      </c>
      <c r="K23" s="4">
        <v>1</v>
      </c>
      <c r="L23" s="4">
        <v>0</v>
      </c>
      <c r="M23" s="3">
        <v>0</v>
      </c>
      <c r="N23" s="3"/>
      <c r="O23" s="2">
        <f>SUM(C23:N23)+O14</f>
        <v>90</v>
      </c>
    </row>
    <row r="24" spans="2:15" ht="21" customHeight="1" x14ac:dyDescent="0.15">
      <c r="D24" s="10"/>
      <c r="E24" s="10"/>
      <c r="F24" s="10"/>
      <c r="G24" s="10"/>
      <c r="H24" s="10"/>
      <c r="K24" s="10"/>
      <c r="L24" s="10"/>
      <c r="M24" s="10" t="s">
        <v>27</v>
      </c>
      <c r="N24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5"/>
  <sheetViews>
    <sheetView zoomScaleNormal="100" workbookViewId="0">
      <selection activeCell="C14" sqref="C14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16</v>
      </c>
      <c r="D1" s="7" t="s">
        <v>18</v>
      </c>
      <c r="E1" s="7" t="s">
        <v>10</v>
      </c>
      <c r="F1" s="7" t="s">
        <v>11</v>
      </c>
      <c r="G1" s="7" t="s">
        <v>15</v>
      </c>
      <c r="H1" s="7" t="s">
        <v>9</v>
      </c>
      <c r="I1" s="7" t="s">
        <v>7</v>
      </c>
      <c r="J1" s="7" t="s">
        <v>13</v>
      </c>
      <c r="K1" s="7" t="s">
        <v>6</v>
      </c>
      <c r="L1" s="7" t="s">
        <v>5</v>
      </c>
      <c r="M1" s="7" t="s">
        <v>4</v>
      </c>
      <c r="N1" s="7" t="s">
        <v>20</v>
      </c>
      <c r="O1" s="6" t="s">
        <v>3</v>
      </c>
    </row>
    <row r="2" spans="2:15" x14ac:dyDescent="0.15">
      <c r="B2" s="4" t="s">
        <v>2</v>
      </c>
      <c r="C2" s="4">
        <f>C9</f>
        <v>18</v>
      </c>
      <c r="D2" s="4">
        <f t="shared" ref="D2:N2" si="0">D9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2">
        <f>SUM(C2:N2)</f>
        <v>18</v>
      </c>
    </row>
    <row r="3" spans="2:15" x14ac:dyDescent="0.15">
      <c r="B3" s="4" t="s">
        <v>1</v>
      </c>
      <c r="C3" s="4">
        <f t="shared" ref="C3:N3" si="1">C10</f>
        <v>6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2">
        <f t="shared" ref="O3:O5" si="2">SUM(C3:N3)</f>
        <v>6</v>
      </c>
    </row>
    <row r="4" spans="2:15" x14ac:dyDescent="0.15">
      <c r="B4" s="4" t="s">
        <v>21</v>
      </c>
      <c r="C4" s="4">
        <f t="shared" ref="C4:N5" si="3">C12</f>
        <v>12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2">
        <f t="shared" si="2"/>
        <v>12</v>
      </c>
    </row>
    <row r="5" spans="2:15" x14ac:dyDescent="0.15">
      <c r="B5" s="4" t="s">
        <v>0</v>
      </c>
      <c r="C5" s="4">
        <f t="shared" si="3"/>
        <v>53</v>
      </c>
      <c r="D5" s="4">
        <f t="shared" si="3"/>
        <v>0</v>
      </c>
      <c r="E5" s="4">
        <f t="shared" si="3"/>
        <v>0</v>
      </c>
      <c r="F5" s="4">
        <f t="shared" si="3"/>
        <v>0</v>
      </c>
      <c r="G5" s="4">
        <f t="shared" si="3"/>
        <v>0</v>
      </c>
      <c r="H5" s="4">
        <f t="shared" si="3"/>
        <v>0</v>
      </c>
      <c r="I5" s="4">
        <f t="shared" si="3"/>
        <v>0</v>
      </c>
      <c r="J5" s="4">
        <f t="shared" si="3"/>
        <v>0</v>
      </c>
      <c r="K5" s="4">
        <f t="shared" si="3"/>
        <v>0</v>
      </c>
      <c r="L5" s="4">
        <f t="shared" si="3"/>
        <v>0</v>
      </c>
      <c r="M5" s="4">
        <f t="shared" si="3"/>
        <v>0</v>
      </c>
      <c r="N5" s="4">
        <f t="shared" si="3"/>
        <v>0</v>
      </c>
      <c r="O5" s="2">
        <f t="shared" si="2"/>
        <v>53</v>
      </c>
    </row>
    <row r="6" spans="2:15" s="8" customFormat="1" ht="12" customHeight="1" x14ac:dyDescent="0.15">
      <c r="E6" s="9"/>
    </row>
    <row r="7" spans="2:15" x14ac:dyDescent="0.15">
      <c r="B7" s="1" t="s">
        <v>17</v>
      </c>
    </row>
    <row r="8" spans="2:15" x14ac:dyDescent="0.15">
      <c r="B8" s="7"/>
      <c r="C8" s="7" t="s">
        <v>19</v>
      </c>
      <c r="D8" s="7" t="s">
        <v>8</v>
      </c>
      <c r="E8" s="7" t="s">
        <v>10</v>
      </c>
      <c r="F8" s="7" t="s">
        <v>11</v>
      </c>
      <c r="G8" s="7" t="s">
        <v>15</v>
      </c>
      <c r="H8" s="7" t="s">
        <v>9</v>
      </c>
      <c r="I8" s="7" t="s">
        <v>7</v>
      </c>
      <c r="J8" s="7" t="s">
        <v>12</v>
      </c>
      <c r="K8" s="7" t="s">
        <v>6</v>
      </c>
      <c r="L8" s="7" t="s">
        <v>5</v>
      </c>
      <c r="M8" s="7" t="s">
        <v>4</v>
      </c>
      <c r="N8" s="7" t="s">
        <v>20</v>
      </c>
      <c r="O8" s="6" t="s">
        <v>3</v>
      </c>
    </row>
    <row r="9" spans="2:15" x14ac:dyDescent="0.15">
      <c r="B9" s="4" t="s">
        <v>2</v>
      </c>
      <c r="C9" s="4">
        <v>18</v>
      </c>
      <c r="D9" s="4"/>
      <c r="E9" s="4"/>
      <c r="F9" s="4"/>
      <c r="G9" s="4"/>
      <c r="H9" s="4"/>
      <c r="I9" s="4"/>
      <c r="J9" s="4"/>
      <c r="K9" s="4"/>
      <c r="L9" s="4"/>
      <c r="M9" s="3"/>
      <c r="N9" s="11"/>
      <c r="O9" s="2">
        <f>SUM(C9:N9)</f>
        <v>18</v>
      </c>
    </row>
    <row r="10" spans="2:15" x14ac:dyDescent="0.15">
      <c r="B10" s="4" t="s">
        <v>1</v>
      </c>
      <c r="C10" s="4">
        <v>6</v>
      </c>
      <c r="D10" s="4"/>
      <c r="E10" s="4"/>
      <c r="F10" s="4"/>
      <c r="G10" s="4"/>
      <c r="H10" s="4"/>
      <c r="I10" s="4"/>
      <c r="J10" s="4"/>
      <c r="K10" s="4"/>
      <c r="L10" s="4"/>
      <c r="M10" s="3"/>
      <c r="N10" s="11"/>
      <c r="O10" s="2">
        <f>SUM(C10:N10)</f>
        <v>6</v>
      </c>
    </row>
    <row r="11" spans="2:15" x14ac:dyDescent="0.15">
      <c r="B11" s="4" t="s">
        <v>14</v>
      </c>
      <c r="C11" s="4">
        <v>1</v>
      </c>
      <c r="D11" s="4"/>
      <c r="E11" s="4"/>
      <c r="F11" s="4"/>
      <c r="G11" s="4"/>
      <c r="H11" s="4"/>
      <c r="I11" s="4"/>
      <c r="J11" s="4"/>
      <c r="K11" s="4"/>
      <c r="L11" s="4"/>
      <c r="M11" s="3"/>
      <c r="N11" s="11"/>
      <c r="O11" s="2">
        <f>SUM(C11:N11)</f>
        <v>1</v>
      </c>
    </row>
    <row r="12" spans="2:15" x14ac:dyDescent="0.15">
      <c r="B12" s="4" t="s">
        <v>22</v>
      </c>
      <c r="C12" s="4">
        <v>12</v>
      </c>
      <c r="D12" s="4"/>
      <c r="E12" s="4"/>
      <c r="F12" s="4"/>
      <c r="G12" s="4"/>
      <c r="H12" s="4"/>
      <c r="I12" s="4"/>
      <c r="J12" s="4"/>
      <c r="K12" s="4"/>
      <c r="L12" s="4"/>
      <c r="M12" s="3"/>
      <c r="N12" s="3"/>
      <c r="O12" s="2">
        <f>SUM(C12:N12)</f>
        <v>12</v>
      </c>
    </row>
    <row r="13" spans="2:15" x14ac:dyDescent="0.15">
      <c r="B13" s="4" t="s">
        <v>0</v>
      </c>
      <c r="C13" s="4">
        <v>53</v>
      </c>
      <c r="D13" s="4"/>
      <c r="E13" s="4"/>
      <c r="F13" s="4"/>
      <c r="G13" s="4"/>
      <c r="H13" s="4"/>
      <c r="I13" s="4"/>
      <c r="J13" s="4"/>
      <c r="K13" s="4"/>
      <c r="L13" s="4"/>
      <c r="M13" s="3"/>
      <c r="N13" s="3"/>
      <c r="O13" s="2">
        <f>SUM(C13:N13)</f>
        <v>53</v>
      </c>
    </row>
    <row r="14" spans="2:15" x14ac:dyDescent="0.15">
      <c r="C14" s="10" t="s">
        <v>23</v>
      </c>
      <c r="E14" s="10"/>
      <c r="F14" s="10"/>
      <c r="G14" s="10"/>
      <c r="H14" s="10"/>
      <c r="K14" s="10"/>
      <c r="L14" s="10"/>
      <c r="M14" s="10"/>
      <c r="N14" s="10"/>
    </row>
    <row r="15" spans="2:15" ht="4.5" customHeight="1" x14ac:dyDescent="0.15"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44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宝来屋</vt:lpstr>
      <vt:lpstr>宝来屋 (2)</vt:lpstr>
      <vt:lpstr>宝来屋!Print_Area</vt:lpstr>
      <vt:lpstr>'宝来屋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2024-11-26T05:29:41Z</cp:lastPrinted>
  <dcterms:created xsi:type="dcterms:W3CDTF">2018-10-31T01:38:43Z</dcterms:created>
  <dcterms:modified xsi:type="dcterms:W3CDTF">2026-04-27T01:48:21Z</dcterms:modified>
</cp:coreProperties>
</file>