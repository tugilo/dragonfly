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ミドリノタネ" sheetId="1" r:id="rId1"/>
    <sheet name="ミドリノタネ パルシェ静岡店 (2)" sheetId="2" r:id="rId2"/>
  </sheets>
  <definedNames>
    <definedName name="_xlnm.Print_Area" localSheetId="0">ミドリノタネ!$A$23:$P$40</definedName>
    <definedName name="_xlnm.Print_Area" localSheetId="1">'ミドリノタネ パルシェ静岡店 (2)'!$A$7:$P$60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9" i="1" l="1"/>
  <c r="O38" i="1"/>
  <c r="O37" i="1"/>
  <c r="O36" i="1"/>
  <c r="O35" i="1"/>
  <c r="O34" i="1"/>
  <c r="O30" i="1" l="1"/>
  <c r="O29" i="1" l="1"/>
  <c r="O28" i="1"/>
  <c r="O27" i="1"/>
  <c r="O26" i="1"/>
  <c r="O25" i="1"/>
  <c r="O19" i="1"/>
  <c r="O17" i="1"/>
  <c r="O18" i="1"/>
  <c r="O20" i="1"/>
  <c r="O16" i="1"/>
  <c r="O19" i="2"/>
  <c r="O18" i="2"/>
  <c r="O12" i="2"/>
  <c r="O20" i="2" s="1"/>
  <c r="O11" i="2"/>
  <c r="O10" i="2"/>
  <c r="O17" i="2" s="1"/>
  <c r="O9" i="2"/>
  <c r="O16" i="2" s="1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A5" i="2" s="1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A4" i="2" s="1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A3" i="2" s="1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A2" i="2" s="1"/>
  <c r="P2" i="1" l="1"/>
  <c r="Q2" i="1"/>
  <c r="R2" i="1"/>
  <c r="S2" i="1"/>
  <c r="T2" i="1"/>
  <c r="U2" i="1"/>
  <c r="V2" i="1"/>
  <c r="W2" i="1"/>
  <c r="X2" i="1"/>
  <c r="Y2" i="1"/>
  <c r="Z2" i="1"/>
  <c r="P3" i="1"/>
  <c r="Q3" i="1"/>
  <c r="R3" i="1"/>
  <c r="S3" i="1"/>
  <c r="T3" i="1"/>
  <c r="U3" i="1"/>
  <c r="V3" i="1"/>
  <c r="W3" i="1"/>
  <c r="X3" i="1"/>
  <c r="Y3" i="1"/>
  <c r="Z3" i="1"/>
  <c r="P4" i="1"/>
  <c r="Q4" i="1"/>
  <c r="R4" i="1"/>
  <c r="S4" i="1"/>
  <c r="T4" i="1"/>
  <c r="U4" i="1"/>
  <c r="V4" i="1"/>
  <c r="W4" i="1"/>
  <c r="X4" i="1"/>
  <c r="Y4" i="1"/>
  <c r="Z4" i="1"/>
  <c r="P5" i="1"/>
  <c r="Q5" i="1"/>
  <c r="R5" i="1"/>
  <c r="S5" i="1"/>
  <c r="T5" i="1"/>
  <c r="U5" i="1"/>
  <c r="V5" i="1"/>
  <c r="W5" i="1"/>
  <c r="X5" i="1"/>
  <c r="Y5" i="1"/>
  <c r="Z5" i="1"/>
  <c r="O3" i="1"/>
  <c r="O4" i="1"/>
  <c r="O5" i="1"/>
  <c r="O2" i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C3" i="1"/>
  <c r="C4" i="1"/>
  <c r="C5" i="1"/>
  <c r="C2" i="1"/>
  <c r="AA3" i="1" l="1"/>
  <c r="AA4" i="1"/>
  <c r="AA2" i="1"/>
  <c r="AA5" i="1"/>
  <c r="O12" i="1"/>
  <c r="O21" i="1" s="1"/>
  <c r="O11" i="1"/>
  <c r="O10" i="1"/>
  <c r="O9" i="1"/>
</calcChain>
</file>

<file path=xl/sharedStrings.xml><?xml version="1.0" encoding="utf-8"?>
<sst xmlns="http://schemas.openxmlformats.org/spreadsheetml/2006/main" count="175" uniqueCount="28">
  <si>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</si>
  <si>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</si>
  <si>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</si>
  <si>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</si>
  <si>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</si>
  <si>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</si>
  <si>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</si>
  <si>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</si>
  <si>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</si>
  <si>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</si>
  <si>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</si>
  <si>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</si>
  <si>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</si>
  <si>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</si>
  <si>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8月</t>
  </si>
  <si>
    <t>9月</t>
  </si>
  <si>
    <t>1月</t>
  </si>
  <si>
    <t>2022年8月～2023年7月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</si>
  <si>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2023年8月～2024年7月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</si>
  <si>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2022/8月</t>
    <phoneticPr fontId="2"/>
  </si>
  <si>
    <t>2023/1月</t>
    <phoneticPr fontId="2"/>
  </si>
  <si>
    <t>2024/1月</t>
    <phoneticPr fontId="2"/>
  </si>
  <si>
    <t>スタンプクーポン</t>
    <phoneticPr fontId="2"/>
  </si>
  <si>
    <t>5/26～6/25</t>
    <phoneticPr fontId="2"/>
  </si>
  <si>
    <t>閲覧数</t>
    <rPh sb="0" eb="3">
      <t>エツランスウ</t>
    </rPh>
    <phoneticPr fontId="2"/>
  </si>
  <si>
    <t>2024年8月～2025年7月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</si>
  <si>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2025年8月～2026年7月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</si>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</sst>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38" fontId="1" fillId="0" borderId="1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'ミドリノタネ パルシェ静岡店 (2)'!$B$7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(2)'!$C$8:$N$8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'ミドリノタネ パルシェ静岡店 (2)'!$C$9:$N$9</c:f>
              <c:numCache>
                <c:formatCode>General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20</c:v>
                </c:pt>
                <c:pt idx="3">
                  <c:v>14</c:v>
                </c:pt>
                <c:pt idx="4">
                  <c:v>8</c:v>
                </c:pt>
                <c:pt idx="5">
                  <c:v>15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002-46AA-B68E-B0F9230FA349}"/>
            </c:ext>
          </c:extLst>
        </c:ser>
        <c:ser>
          <c:idx val="2"/>
          <c:order val="1"/>
          <c:tx>
            <c:strRef>
              <c:f>'ミドリノタネ パルシェ静岡店 (2)'!$B$14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(2)'!$C$8:$N$8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'ミドリノタネ パルシェ静岡店 (2)'!$C$16:$N$16</c:f>
              <c:numCache>
                <c:formatCode>General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12</c:v>
                </c:pt>
                <c:pt idx="3">
                  <c:v>7</c:v>
                </c:pt>
                <c:pt idx="4">
                  <c:v>8</c:v>
                </c:pt>
                <c:pt idx="5">
                  <c:v>1</c:v>
                </c:pt>
                <c:pt idx="6">
                  <c:v>41</c:v>
                </c:pt>
                <c:pt idx="7">
                  <c:v>64</c:v>
                </c:pt>
                <c:pt idx="8">
                  <c:v>64</c:v>
                </c:pt>
                <c:pt idx="9">
                  <c:v>45</c:v>
                </c:pt>
                <c:pt idx="10">
                  <c:v>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002-46AA-B68E-B0F9230FA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4720"/>
        <c:axId val="512523936"/>
        <c:extLst xmlns:c16r2="http://schemas.microsoft.com/office/drawing/2015/06/chart"/>
      </c:barChart>
      <c:catAx>
        <c:axId val="51252472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936"/>
        <c:crosses val="autoZero"/>
        <c:auto val="1"/>
        <c:lblAlgn val="ctr"/>
        <c:lblOffset val="100"/>
        <c:noMultiLvlLbl val="0"/>
      </c:catAx>
      <c:valAx>
        <c:axId val="5125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9331464763651"/>
          <c:y val="5.5843066689429392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'ミドリノタネ パルシェ静岡店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(2)'!$C$1:$Z$1</c:f>
              <c:strCache>
                <c:ptCount val="24"/>
                <c:pt idx="0">
                  <c:v>2022/8月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2023/1月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  <c:pt idx="17">
                  <c:v>2024/1月</c:v>
                </c:pt>
                <c:pt idx="18">
                  <c:v>2月</c:v>
                </c:pt>
                <c:pt idx="19">
                  <c:v>3月</c:v>
                </c:pt>
                <c:pt idx="20">
                  <c:v>4月</c:v>
                </c:pt>
                <c:pt idx="21">
                  <c:v>5月</c:v>
                </c:pt>
                <c:pt idx="22">
                  <c:v>6月</c:v>
                </c:pt>
                <c:pt idx="23">
                  <c:v>7月</c:v>
                </c:pt>
              </c:strCache>
            </c:strRef>
          </c:cat>
          <c:val>
            <c:numRef>
              <c:f>'ミドリノタネ パルシェ静岡店 (2)'!$C$5:$Z$5</c:f>
              <c:numCache>
                <c:formatCode>General</c:formatCode>
                <c:ptCount val="24"/>
                <c:pt idx="0">
                  <c:v>49</c:v>
                </c:pt>
                <c:pt idx="1">
                  <c:v>45</c:v>
                </c:pt>
                <c:pt idx="2">
                  <c:v>25</c:v>
                </c:pt>
                <c:pt idx="3">
                  <c:v>31</c:v>
                </c:pt>
                <c:pt idx="4">
                  <c:v>22</c:v>
                </c:pt>
                <c:pt idx="5">
                  <c:v>32</c:v>
                </c:pt>
                <c:pt idx="6">
                  <c:v>13</c:v>
                </c:pt>
                <c:pt idx="7">
                  <c:v>20</c:v>
                </c:pt>
                <c:pt idx="8">
                  <c:v>26</c:v>
                </c:pt>
                <c:pt idx="9">
                  <c:v>13</c:v>
                </c:pt>
                <c:pt idx="10">
                  <c:v>13</c:v>
                </c:pt>
                <c:pt idx="11">
                  <c:v>23</c:v>
                </c:pt>
                <c:pt idx="12">
                  <c:v>31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7</c:v>
                </c:pt>
                <c:pt idx="17">
                  <c:v>9</c:v>
                </c:pt>
                <c:pt idx="18">
                  <c:v>42</c:v>
                </c:pt>
                <c:pt idx="19">
                  <c:v>44</c:v>
                </c:pt>
                <c:pt idx="20">
                  <c:v>20</c:v>
                </c:pt>
                <c:pt idx="21">
                  <c:v>31</c:v>
                </c:pt>
                <c:pt idx="22">
                  <c:v>17</c:v>
                </c:pt>
                <c:pt idx="2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33-486F-BEFA-3221818C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120"/>
        <c:axId val="472446472"/>
        <c:extLst xmlns:c16r2="http://schemas.microsoft.com/office/drawing/2015/06/chart"/>
      </c:barChart>
      <c:catAx>
        <c:axId val="47244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472"/>
        <c:crosses val="autoZero"/>
        <c:auto val="1"/>
        <c:lblAlgn val="ctr"/>
        <c:lblOffset val="100"/>
        <c:noMultiLvlLbl val="0"/>
      </c:catAx>
      <c:valAx>
        <c:axId val="47244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'ミドリノタネ パルシェ静岡店 (2)'!$B$7</c:f>
              <c:strCache>
                <c:ptCount val="1"/>
                <c:pt idx="0">
                  <c:v>2022年8月～2023年7月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(2)'!$C$8:$N$8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'ミドリノタネ パルシェ静岡店 (2)'!$C$10:$N$10</c:f>
              <c:numCache>
                <c:formatCode>General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68-465A-B5C2-AF5B01FCA9AC}"/>
            </c:ext>
          </c:extLst>
        </c:ser>
        <c:ser>
          <c:idx val="1"/>
          <c:order val="1"/>
          <c:tx>
            <c:strRef>
              <c:f>'ミドリノタネ パルシェ静岡店 (2)'!$B$14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(2)'!$C$8:$N$8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'ミドリノタネ パルシェ静岡店 (2)'!$C$17:$N$17</c:f>
              <c:numCache>
                <c:formatCode>General</c:formatCode>
                <c:ptCount val="12"/>
                <c:pt idx="0">
                  <c:v>11</c:v>
                </c:pt>
                <c:pt idx="1">
                  <c:v>21</c:v>
                </c:pt>
                <c:pt idx="2">
                  <c:v>18</c:v>
                </c:pt>
                <c:pt idx="3">
                  <c:v>22</c:v>
                </c:pt>
                <c:pt idx="4">
                  <c:v>6</c:v>
                </c:pt>
                <c:pt idx="5">
                  <c:v>6</c:v>
                </c:pt>
                <c:pt idx="6">
                  <c:v>35</c:v>
                </c:pt>
                <c:pt idx="7">
                  <c:v>26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168-465A-B5C2-AF5B01FCA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904"/>
        <c:axId val="472446080"/>
        <c:extLst xmlns:c16r2="http://schemas.microsoft.com/office/drawing/2015/06/chart"/>
      </c:barChart>
      <c:catAx>
        <c:axId val="472444904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080"/>
        <c:crosses val="autoZero"/>
        <c:auto val="1"/>
        <c:lblAlgn val="ctr"/>
        <c:lblOffset val="100"/>
        <c:noMultiLvlLbl val="0"/>
      </c:catAx>
      <c:valAx>
        <c:axId val="4724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76601394213469"/>
          <c:y val="5.5843066689429392E-2"/>
          <c:w val="0.274233986057865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'ミドリノタネ パルシェ静岡店 (2)'!$B$14</c:f>
              <c:strCache>
                <c:ptCount val="1"/>
                <c:pt idx="0">
                  <c:v>2023年8月～2024年7月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'ミドリノタネ パルシェ静岡店 (2)'!$C$15:$N$15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'ミドリノタネ パルシェ静岡店 (2)'!$C$18:$N$18</c:f>
              <c:numCache>
                <c:formatCode>General</c:formatCode>
                <c:ptCount val="12"/>
                <c:pt idx="7">
                  <c:v>5</c:v>
                </c:pt>
                <c:pt idx="8">
                  <c:v>9</c:v>
                </c:pt>
                <c:pt idx="9">
                  <c:v>4</c:v>
                </c:pt>
                <c:pt idx="10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97-444C-9727-049DFF8D7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5688"/>
        <c:axId val="4724433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'ミドリノタネ パルシェ静岡店 (2)'!$B$7</c15:sqref>
                        </c15:formulaRef>
                      </c:ext>
                    </c:extLst>
                    <c:strCache>
                      <c:ptCount val="1"/>
                      <c:pt idx="0">
                        <c:v>2022年8月～2023年7月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'ミドリノタネ パルシェ静岡店 (2)'!$C$15:$N$15</c15:sqref>
                        </c15:formulaRef>
                      </c:ext>
                    </c:extLst>
                    <c:strCache>
                      <c:ptCount val="12"/>
                      <c:pt idx="0">
                        <c:v>8月</c:v>
                      </c:pt>
                      <c:pt idx="1">
                        <c:v>9月</c:v>
                      </c:pt>
                      <c:pt idx="2">
                        <c:v>10月</c:v>
                      </c:pt>
                      <c:pt idx="3">
                        <c:v>11月</c:v>
                      </c:pt>
                      <c:pt idx="4">
                        <c:v>12月</c:v>
                      </c:pt>
                      <c:pt idx="5">
                        <c:v>1月</c:v>
                      </c:pt>
                      <c:pt idx="6">
                        <c:v>2月</c:v>
                      </c:pt>
                      <c:pt idx="7">
                        <c:v>3月</c:v>
                      </c:pt>
                      <c:pt idx="8">
                        <c:v>4月</c:v>
                      </c:pt>
                      <c:pt idx="9">
                        <c:v>5月</c:v>
                      </c:pt>
                      <c:pt idx="10">
                        <c:v>6月</c:v>
                      </c:pt>
                      <c:pt idx="11">
                        <c:v>7月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'ミドリノタネ パルシェ静岡店 (2)'!$C$9:$N$9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14</c:v>
                      </c:pt>
                      <c:pt idx="4">
                        <c:v>8</c:v>
                      </c:pt>
                      <c:pt idx="5">
                        <c:v>15</c:v>
                      </c:pt>
                      <c:pt idx="6">
                        <c:v>10</c:v>
                      </c:pt>
                      <c:pt idx="7">
                        <c:v>7</c:v>
                      </c:pt>
                      <c:pt idx="8">
                        <c:v>6</c:v>
                      </c:pt>
                      <c:pt idx="9">
                        <c:v>3</c:v>
                      </c:pt>
                      <c:pt idx="10">
                        <c:v>6</c:v>
                      </c:pt>
                      <c:pt idx="11">
                        <c:v>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5C97-444C-9727-049DFF8D7F25}"/>
                  </c:ext>
                </c:extLst>
              </c15:ser>
            </c15:filteredBarSeries>
          </c:ext>
        </c:extLst>
      </c:barChart>
      <c:catAx>
        <c:axId val="47244568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auto val="1"/>
        <c:lblAlgn val="ctr"/>
        <c:lblOffset val="100"/>
        <c:noMultiLvlLbl val="0"/>
      </c:catAx>
      <c:valAx>
        <c:axId val="47244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9331464763651"/>
          <c:y val="5.5843066689429392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22</xdr:row>
      <xdr:rowOff>38100</xdr:rowOff>
    </xdr:from>
    <xdr:to>
      <xdr:col>7</xdr:col>
      <xdr:colOff>895351</xdr:colOff>
      <xdr:row>39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E6648FB6-0EB7-4E49-BE06-A4D8512BF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152399</xdr:colOff>
      <xdr:row>40</xdr:row>
      <xdr:rowOff>28575</xdr:rowOff>
    </xdr:from>
    <xdr:to>
      <xdr:col>15</xdr:col>
      <xdr:colOff>847724</xdr:colOff>
      <xdr:row>58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7EF406E4-010A-4712-997F-8718C8133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22</xdr:row>
      <xdr:rowOff>38099</xdr:rowOff>
    </xdr:from>
    <xdr:to>
      <xdr:col>15</xdr:col>
      <xdr:colOff>838199</xdr:colOff>
      <xdr:row>39</xdr:row>
      <xdr:rowOff>152399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06BA1646-3BEC-4412-8C40-15DCEDF15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266700</xdr:colOff>
      <xdr:row>40</xdr:row>
      <xdr:rowOff>28574</xdr:rowOff>
    </xdr:from>
    <xdr:to>
      <xdr:col>7</xdr:col>
      <xdr:colOff>885826</xdr:colOff>
      <xdr:row>58</xdr:row>
      <xdr:rowOff>171449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34BB085E-4AAC-49F4-838B-997D8E48E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40"/>
  <sheetViews>
    <sheetView tabSelected="1" topLeftCell="A26" zoomScaleNormal="100" workbookViewId="0">
      <selection activeCell="K39" sqref="K39"/>
    </sheetView>
  </sheetViews>
  <sheetFormatPr defaultColWidth="12" defaultRowHeight="15.75" x14ac:dyDescent="0.15"/>
  <cols>
    <col min="1" max="1" width="12" style="1"/>
    <col min="2" max="2" width="13.625" style="1" customWidth="1"/>
    <col min="3" max="16384" width="12" style="1"/>
  </cols>
  <sheetData>
    <row r="1" spans="2:27" s="5" customFormat="1" x14ac:dyDescent="0.15">
      <c r="B1" s="7"/>
      <c r="C1" s="7" t="s">
        <v>19</v>
      </c>
      <c r="D1" s="7" t="s">
        <v>15</v>
      </c>
      <c r="E1" s="7" t="s">
        <v>12</v>
      </c>
      <c r="F1" s="7" t="s">
        <v>13</v>
      </c>
      <c r="G1" s="7" t="s">
        <v>8</v>
      </c>
      <c r="H1" s="7" t="s">
        <v>20</v>
      </c>
      <c r="I1" s="7" t="s">
        <v>7</v>
      </c>
      <c r="J1" s="7" t="s">
        <v>6</v>
      </c>
      <c r="K1" s="7" t="s">
        <v>5</v>
      </c>
      <c r="L1" s="7" t="s">
        <v>9</v>
      </c>
      <c r="M1" s="7" t="s">
        <v>10</v>
      </c>
      <c r="N1" s="7" t="s">
        <v>11</v>
      </c>
      <c r="O1" s="7" t="s">
        <v>14</v>
      </c>
      <c r="P1" s="7" t="s">
        <v>15</v>
      </c>
      <c r="Q1" s="7" t="s">
        <v>12</v>
      </c>
      <c r="R1" s="7" t="s">
        <v>13</v>
      </c>
      <c r="S1" s="7" t="s">
        <v>8</v>
      </c>
      <c r="T1" s="7" t="s">
        <v>21</v>
      </c>
      <c r="U1" s="7" t="s">
        <v>7</v>
      </c>
      <c r="V1" s="7" t="s">
        <v>6</v>
      </c>
      <c r="W1" s="7" t="s">
        <v>5</v>
      </c>
      <c r="X1" s="7" t="s">
        <v>9</v>
      </c>
      <c r="Y1" s="7" t="s">
        <v>10</v>
      </c>
      <c r="Z1" s="7" t="s">
        <v>11</v>
      </c>
      <c r="AA1" s="6" t="s">
        <v>4</v>
      </c>
    </row>
    <row r="2" spans="2:27" x14ac:dyDescent="0.15">
      <c r="B2" s="4" t="s">
        <v>3</v>
      </c>
      <c r="C2" s="4">
        <f>C9</f>
        <v>16</v>
      </c>
      <c r="D2" s="4">
        <f t="shared" ref="D2:N2" si="0">D9</f>
        <v>16</v>
      </c>
      <c r="E2" s="4">
        <f t="shared" si="0"/>
        <v>20</v>
      </c>
      <c r="F2" s="4">
        <f t="shared" si="0"/>
        <v>14</v>
      </c>
      <c r="G2" s="4">
        <f t="shared" si="0"/>
        <v>8</v>
      </c>
      <c r="H2" s="4">
        <f t="shared" si="0"/>
        <v>15</v>
      </c>
      <c r="I2" s="4">
        <f t="shared" si="0"/>
        <v>10</v>
      </c>
      <c r="J2" s="4">
        <f t="shared" si="0"/>
        <v>7</v>
      </c>
      <c r="K2" s="4">
        <f t="shared" si="0"/>
        <v>6</v>
      </c>
      <c r="L2" s="4">
        <f t="shared" si="0"/>
        <v>3</v>
      </c>
      <c r="M2" s="4">
        <f t="shared" si="0"/>
        <v>6</v>
      </c>
      <c r="N2" s="4">
        <f t="shared" si="0"/>
        <v>6</v>
      </c>
      <c r="O2" s="4">
        <f>C16</f>
        <v>15</v>
      </c>
      <c r="P2" s="4">
        <f t="shared" ref="P2:Z3" si="1">D16</f>
        <v>15</v>
      </c>
      <c r="Q2" s="4">
        <f t="shared" si="1"/>
        <v>12</v>
      </c>
      <c r="R2" s="4">
        <f t="shared" si="1"/>
        <v>7</v>
      </c>
      <c r="S2" s="4">
        <f t="shared" si="1"/>
        <v>8</v>
      </c>
      <c r="T2" s="4">
        <f t="shared" si="1"/>
        <v>1</v>
      </c>
      <c r="U2" s="4">
        <f t="shared" si="1"/>
        <v>41</v>
      </c>
      <c r="V2" s="4">
        <f t="shared" si="1"/>
        <v>64</v>
      </c>
      <c r="W2" s="4">
        <f t="shared" si="1"/>
        <v>64</v>
      </c>
      <c r="X2" s="4">
        <f t="shared" si="1"/>
        <v>45</v>
      </c>
      <c r="Y2" s="4">
        <f t="shared" si="1"/>
        <v>58</v>
      </c>
      <c r="Z2" s="4">
        <f t="shared" si="1"/>
        <v>42</v>
      </c>
      <c r="AA2" s="2">
        <f>SUM(C2:Z2)</f>
        <v>499</v>
      </c>
    </row>
    <row r="3" spans="2:27" x14ac:dyDescent="0.15">
      <c r="B3" s="4" t="s">
        <v>2</v>
      </c>
      <c r="C3" s="4">
        <f t="shared" ref="C3:N5" si="2">C10</f>
        <v>6</v>
      </c>
      <c r="D3" s="4">
        <f t="shared" si="2"/>
        <v>1</v>
      </c>
      <c r="E3" s="4">
        <f t="shared" si="2"/>
        <v>11</v>
      </c>
      <c r="F3" s="4">
        <f t="shared" si="2"/>
        <v>7</v>
      </c>
      <c r="G3" s="4">
        <f t="shared" si="2"/>
        <v>5</v>
      </c>
      <c r="H3" s="4">
        <f t="shared" si="2"/>
        <v>10</v>
      </c>
      <c r="I3" s="4">
        <f t="shared" si="2"/>
        <v>7</v>
      </c>
      <c r="J3" s="4">
        <f t="shared" si="2"/>
        <v>2</v>
      </c>
      <c r="K3" s="4">
        <f t="shared" si="2"/>
        <v>5</v>
      </c>
      <c r="L3" s="4">
        <f t="shared" si="2"/>
        <v>4</v>
      </c>
      <c r="M3" s="4">
        <f t="shared" si="2"/>
        <v>2</v>
      </c>
      <c r="N3" s="4">
        <f t="shared" si="2"/>
        <v>1</v>
      </c>
      <c r="O3" s="4">
        <f t="shared" ref="O3" si="3">C17</f>
        <v>11</v>
      </c>
      <c r="P3" s="4">
        <f t="shared" si="1"/>
        <v>21</v>
      </c>
      <c r="Q3" s="4">
        <f t="shared" si="1"/>
        <v>18</v>
      </c>
      <c r="R3" s="4">
        <f t="shared" si="1"/>
        <v>22</v>
      </c>
      <c r="S3" s="4">
        <f t="shared" si="1"/>
        <v>6</v>
      </c>
      <c r="T3" s="4">
        <f t="shared" si="1"/>
        <v>6</v>
      </c>
      <c r="U3" s="4">
        <f t="shared" si="1"/>
        <v>35</v>
      </c>
      <c r="V3" s="4">
        <f t="shared" si="1"/>
        <v>26</v>
      </c>
      <c r="W3" s="4">
        <f t="shared" si="1"/>
        <v>17</v>
      </c>
      <c r="X3" s="4">
        <f t="shared" si="1"/>
        <v>17</v>
      </c>
      <c r="Y3" s="4">
        <f t="shared" si="1"/>
        <v>18</v>
      </c>
      <c r="Z3" s="4">
        <f t="shared" si="1"/>
        <v>12</v>
      </c>
      <c r="AA3" s="2">
        <f t="shared" ref="AA3:AA5" si="4">SUM(C3:Z3)</f>
        <v>270</v>
      </c>
    </row>
    <row r="4" spans="2:27" x14ac:dyDescent="0.15">
      <c r="B4" s="4" t="s">
        <v>1</v>
      </c>
      <c r="C4" s="4">
        <f t="shared" si="2"/>
        <v>1</v>
      </c>
      <c r="D4" s="4">
        <f t="shared" si="2"/>
        <v>1</v>
      </c>
      <c r="E4" s="4">
        <f t="shared" si="2"/>
        <v>1</v>
      </c>
      <c r="F4" s="4">
        <f t="shared" si="2"/>
        <v>2</v>
      </c>
      <c r="G4" s="4">
        <f t="shared" si="2"/>
        <v>2</v>
      </c>
      <c r="H4" s="4">
        <f t="shared" si="2"/>
        <v>1</v>
      </c>
      <c r="I4" s="4">
        <f t="shared" si="2"/>
        <v>5</v>
      </c>
      <c r="J4" s="4">
        <f t="shared" si="2"/>
        <v>0</v>
      </c>
      <c r="K4" s="4">
        <f t="shared" si="2"/>
        <v>0</v>
      </c>
      <c r="L4" s="4">
        <f t="shared" si="2"/>
        <v>1</v>
      </c>
      <c r="M4" s="4">
        <f t="shared" si="2"/>
        <v>0</v>
      </c>
      <c r="N4" s="4">
        <f t="shared" si="2"/>
        <v>2</v>
      </c>
      <c r="O4" s="4">
        <f t="shared" ref="O4:Z5" si="5">C20</f>
        <v>0</v>
      </c>
      <c r="P4" s="4">
        <f t="shared" si="5"/>
        <v>0</v>
      </c>
      <c r="Q4" s="4">
        <f t="shared" si="5"/>
        <v>0</v>
      </c>
      <c r="R4" s="4">
        <f t="shared" si="5"/>
        <v>0</v>
      </c>
      <c r="S4" s="4">
        <f t="shared" si="5"/>
        <v>0</v>
      </c>
      <c r="T4" s="4">
        <f t="shared" si="5"/>
        <v>0</v>
      </c>
      <c r="U4" s="4">
        <f t="shared" si="5"/>
        <v>0</v>
      </c>
      <c r="V4" s="4">
        <f t="shared" si="5"/>
        <v>0</v>
      </c>
      <c r="W4" s="4">
        <f t="shared" si="5"/>
        <v>0</v>
      </c>
      <c r="X4" s="4">
        <f t="shared" si="5"/>
        <v>429</v>
      </c>
      <c r="Y4" s="4">
        <f t="shared" si="5"/>
        <v>310</v>
      </c>
      <c r="Z4" s="4">
        <f t="shared" si="5"/>
        <v>318</v>
      </c>
      <c r="AA4" s="2">
        <f t="shared" si="4"/>
        <v>1073</v>
      </c>
    </row>
    <row r="5" spans="2:27" x14ac:dyDescent="0.15">
      <c r="B5" s="4" t="s">
        <v>0</v>
      </c>
      <c r="C5" s="4">
        <f t="shared" si="2"/>
        <v>49</v>
      </c>
      <c r="D5" s="4">
        <f t="shared" si="2"/>
        <v>45</v>
      </c>
      <c r="E5" s="4">
        <f t="shared" si="2"/>
        <v>25</v>
      </c>
      <c r="F5" s="4">
        <f t="shared" si="2"/>
        <v>31</v>
      </c>
      <c r="G5" s="4">
        <f t="shared" si="2"/>
        <v>22</v>
      </c>
      <c r="H5" s="4">
        <f t="shared" si="2"/>
        <v>32</v>
      </c>
      <c r="I5" s="4">
        <f t="shared" si="2"/>
        <v>13</v>
      </c>
      <c r="J5" s="4">
        <f t="shared" si="2"/>
        <v>20</v>
      </c>
      <c r="K5" s="4">
        <f t="shared" si="2"/>
        <v>26</v>
      </c>
      <c r="L5" s="4">
        <f t="shared" si="2"/>
        <v>13</v>
      </c>
      <c r="M5" s="4">
        <f t="shared" si="2"/>
        <v>13</v>
      </c>
      <c r="N5" s="4">
        <f t="shared" si="2"/>
        <v>23</v>
      </c>
      <c r="O5" s="4">
        <f t="shared" si="5"/>
        <v>31</v>
      </c>
      <c r="P5" s="4">
        <f t="shared" si="5"/>
        <v>19</v>
      </c>
      <c r="Q5" s="4">
        <f t="shared" si="5"/>
        <v>22</v>
      </c>
      <c r="R5" s="4">
        <f t="shared" si="5"/>
        <v>24</v>
      </c>
      <c r="S5" s="4">
        <f t="shared" si="5"/>
        <v>7</v>
      </c>
      <c r="T5" s="4">
        <f t="shared" si="5"/>
        <v>9</v>
      </c>
      <c r="U5" s="4">
        <f t="shared" si="5"/>
        <v>42</v>
      </c>
      <c r="V5" s="4">
        <f t="shared" si="5"/>
        <v>44</v>
      </c>
      <c r="W5" s="4">
        <f t="shared" si="5"/>
        <v>20</v>
      </c>
      <c r="X5" s="4">
        <f t="shared" si="5"/>
        <v>31</v>
      </c>
      <c r="Y5" s="4">
        <f t="shared" si="5"/>
        <v>17</v>
      </c>
      <c r="Z5" s="4">
        <f t="shared" si="5"/>
        <v>11</v>
      </c>
      <c r="AA5" s="2">
        <f t="shared" si="4"/>
        <v>589</v>
      </c>
    </row>
    <row r="6" spans="2:27" s="8" customFormat="1" ht="12" customHeight="1" x14ac:dyDescent="0.15">
      <c r="E6" s="9"/>
    </row>
    <row r="7" spans="2:27" ht="22.5" customHeight="1" x14ac:dyDescent="0.15">
      <c r="B7" s="1" t="s">
        <v>17</v>
      </c>
    </row>
    <row r="8" spans="2:27" ht="22.5" customHeight="1" x14ac:dyDescent="0.15">
      <c r="B8" s="7"/>
      <c r="C8" s="7" t="s">
        <v>14</v>
      </c>
      <c r="D8" s="7" t="s">
        <v>15</v>
      </c>
      <c r="E8" s="7" t="s">
        <v>12</v>
      </c>
      <c r="F8" s="7" t="s">
        <v>13</v>
      </c>
      <c r="G8" s="7" t="s">
        <v>8</v>
      </c>
      <c r="H8" s="7" t="s">
        <v>16</v>
      </c>
      <c r="I8" s="7" t="s">
        <v>7</v>
      </c>
      <c r="J8" s="7" t="s">
        <v>6</v>
      </c>
      <c r="K8" s="7" t="s">
        <v>5</v>
      </c>
      <c r="L8" s="7" t="s">
        <v>9</v>
      </c>
      <c r="M8" s="7" t="s">
        <v>10</v>
      </c>
      <c r="N8" s="7" t="s">
        <v>11</v>
      </c>
      <c r="O8" s="6" t="s">
        <v>4</v>
      </c>
    </row>
    <row r="9" spans="2:27" ht="22.5" customHeight="1" x14ac:dyDescent="0.15">
      <c r="B9" s="4" t="s">
        <v>3</v>
      </c>
      <c r="C9" s="4">
        <v>16</v>
      </c>
      <c r="D9" s="4">
        <v>16</v>
      </c>
      <c r="E9" s="4">
        <v>20</v>
      </c>
      <c r="F9" s="4">
        <v>14</v>
      </c>
      <c r="G9" s="4">
        <v>8</v>
      </c>
      <c r="H9" s="4">
        <v>15</v>
      </c>
      <c r="I9" s="4">
        <v>10</v>
      </c>
      <c r="J9" s="4">
        <v>7</v>
      </c>
      <c r="K9" s="4">
        <v>6</v>
      </c>
      <c r="L9" s="4">
        <v>3</v>
      </c>
      <c r="M9" s="3">
        <v>6</v>
      </c>
      <c r="N9" s="11">
        <v>6</v>
      </c>
      <c r="O9" s="2">
        <f>SUM(C9:N9)</f>
        <v>127</v>
      </c>
    </row>
    <row r="10" spans="2:27" ht="22.5" customHeight="1" x14ac:dyDescent="0.15">
      <c r="B10" s="4" t="s">
        <v>2</v>
      </c>
      <c r="C10" s="4">
        <v>6</v>
      </c>
      <c r="D10" s="4">
        <v>1</v>
      </c>
      <c r="E10" s="4">
        <v>11</v>
      </c>
      <c r="F10" s="4">
        <v>7</v>
      </c>
      <c r="G10" s="4">
        <v>5</v>
      </c>
      <c r="H10" s="4">
        <v>10</v>
      </c>
      <c r="I10" s="4">
        <v>7</v>
      </c>
      <c r="J10" s="4">
        <v>2</v>
      </c>
      <c r="K10" s="4">
        <v>5</v>
      </c>
      <c r="L10" s="4">
        <v>4</v>
      </c>
      <c r="M10" s="3">
        <v>2</v>
      </c>
      <c r="N10" s="11">
        <v>1</v>
      </c>
      <c r="O10" s="2">
        <f>SUM(C10:N10)</f>
        <v>61</v>
      </c>
    </row>
    <row r="11" spans="2:27" ht="22.5" customHeight="1" x14ac:dyDescent="0.15">
      <c r="B11" s="4" t="s">
        <v>1</v>
      </c>
      <c r="C11" s="4">
        <v>1</v>
      </c>
      <c r="D11" s="4">
        <v>1</v>
      </c>
      <c r="E11" s="4">
        <v>1</v>
      </c>
      <c r="F11" s="4">
        <v>2</v>
      </c>
      <c r="G11" s="4">
        <v>2</v>
      </c>
      <c r="H11" s="4">
        <v>1</v>
      </c>
      <c r="I11" s="4">
        <v>5</v>
      </c>
      <c r="J11" s="4">
        <v>0</v>
      </c>
      <c r="K11" s="4">
        <v>0</v>
      </c>
      <c r="L11" s="4">
        <v>1</v>
      </c>
      <c r="M11" s="3">
        <v>0</v>
      </c>
      <c r="N11" s="3">
        <v>2</v>
      </c>
      <c r="O11" s="2">
        <f>SUM(C11:N11)</f>
        <v>16</v>
      </c>
    </row>
    <row r="12" spans="2:27" ht="22.5" customHeight="1" x14ac:dyDescent="0.15">
      <c r="B12" s="4" t="s">
        <v>0</v>
      </c>
      <c r="C12" s="4">
        <v>49</v>
      </c>
      <c r="D12" s="4">
        <v>45</v>
      </c>
      <c r="E12" s="4">
        <v>25</v>
      </c>
      <c r="F12" s="4">
        <v>31</v>
      </c>
      <c r="G12" s="4">
        <v>22</v>
      </c>
      <c r="H12" s="4">
        <v>32</v>
      </c>
      <c r="I12" s="4">
        <v>13</v>
      </c>
      <c r="J12" s="4">
        <v>20</v>
      </c>
      <c r="K12" s="4">
        <v>26</v>
      </c>
      <c r="L12" s="4">
        <v>13</v>
      </c>
      <c r="M12" s="3">
        <v>13</v>
      </c>
      <c r="N12" s="3">
        <v>23</v>
      </c>
      <c r="O12" s="2">
        <f>SUM(C12:N12)</f>
        <v>312</v>
      </c>
    </row>
    <row r="13" spans="2:27" ht="22.5" customHeight="1" x14ac:dyDescent="0.15"/>
    <row r="14" spans="2:27" ht="22.5" customHeight="1" x14ac:dyDescent="0.15">
      <c r="B14" s="1" t="s">
        <v>18</v>
      </c>
    </row>
    <row r="15" spans="2:27" ht="22.5" customHeight="1" x14ac:dyDescent="0.15">
      <c r="B15" s="7"/>
      <c r="C15" s="7" t="s">
        <v>14</v>
      </c>
      <c r="D15" s="7" t="s">
        <v>15</v>
      </c>
      <c r="E15" s="7" t="s">
        <v>12</v>
      </c>
      <c r="F15" s="7" t="s">
        <v>13</v>
      </c>
      <c r="G15" s="7" t="s">
        <v>8</v>
      </c>
      <c r="H15" s="7" t="s">
        <v>16</v>
      </c>
      <c r="I15" s="7" t="s">
        <v>7</v>
      </c>
      <c r="J15" s="7" t="s">
        <v>6</v>
      </c>
      <c r="K15" s="7" t="s">
        <v>5</v>
      </c>
      <c r="L15" s="7" t="s">
        <v>9</v>
      </c>
      <c r="M15" s="7" t="s">
        <v>10</v>
      </c>
      <c r="N15" s="7" t="s">
        <v>11</v>
      </c>
      <c r="O15" s="6" t="s">
        <v>4</v>
      </c>
    </row>
    <row r="16" spans="2:27" ht="22.5" customHeight="1" x14ac:dyDescent="0.15">
      <c r="B16" s="4" t="s">
        <v>3</v>
      </c>
      <c r="C16" s="4">
        <v>15</v>
      </c>
      <c r="D16" s="4">
        <v>15</v>
      </c>
      <c r="E16" s="4">
        <v>12</v>
      </c>
      <c r="F16" s="4">
        <v>7</v>
      </c>
      <c r="G16" s="4">
        <v>8</v>
      </c>
      <c r="H16" s="4">
        <v>1</v>
      </c>
      <c r="I16" s="4">
        <v>41</v>
      </c>
      <c r="J16" s="4">
        <v>64</v>
      </c>
      <c r="K16" s="4">
        <v>64</v>
      </c>
      <c r="L16" s="4">
        <v>45</v>
      </c>
      <c r="M16" s="3">
        <v>58</v>
      </c>
      <c r="N16" s="3">
        <v>42</v>
      </c>
      <c r="O16" s="12">
        <f>SUM(C16:N16)</f>
        <v>372</v>
      </c>
    </row>
    <row r="17" spans="2:15" ht="22.5" customHeight="1" x14ac:dyDescent="0.15">
      <c r="B17" s="4" t="s">
        <v>2</v>
      </c>
      <c r="C17" s="4">
        <v>11</v>
      </c>
      <c r="D17" s="4">
        <v>21</v>
      </c>
      <c r="E17" s="4">
        <v>18</v>
      </c>
      <c r="F17" s="4">
        <v>22</v>
      </c>
      <c r="G17" s="4">
        <v>6</v>
      </c>
      <c r="H17" s="4">
        <v>6</v>
      </c>
      <c r="I17" s="4">
        <v>35</v>
      </c>
      <c r="J17" s="4">
        <v>26</v>
      </c>
      <c r="K17" s="4">
        <v>17</v>
      </c>
      <c r="L17" s="4">
        <v>17</v>
      </c>
      <c r="M17" s="3">
        <v>18</v>
      </c>
      <c r="N17" s="3">
        <v>12</v>
      </c>
      <c r="O17" s="12">
        <f t="shared" ref="O17:O20" si="6">SUM(C17:N17)</f>
        <v>209</v>
      </c>
    </row>
    <row r="18" spans="2:15" ht="22.5" customHeight="1" x14ac:dyDescent="0.15">
      <c r="B18" s="4" t="s">
        <v>22</v>
      </c>
      <c r="C18" s="4"/>
      <c r="D18" s="4"/>
      <c r="E18" s="4"/>
      <c r="F18" s="4"/>
      <c r="G18" s="4"/>
      <c r="H18" s="4"/>
      <c r="I18" s="4"/>
      <c r="J18" s="4">
        <v>5</v>
      </c>
      <c r="K18" s="4">
        <v>9</v>
      </c>
      <c r="L18" s="4">
        <v>4</v>
      </c>
      <c r="M18" s="3">
        <v>13</v>
      </c>
      <c r="N18" s="3">
        <v>5</v>
      </c>
      <c r="O18" s="12">
        <f t="shared" si="6"/>
        <v>36</v>
      </c>
    </row>
    <row r="19" spans="2:15" ht="22.5" customHeight="1" x14ac:dyDescent="0.15">
      <c r="B19" s="4" t="s">
        <v>1</v>
      </c>
      <c r="C19" s="4">
        <v>5</v>
      </c>
      <c r="D19" s="4">
        <v>0</v>
      </c>
      <c r="E19" s="4">
        <v>1</v>
      </c>
      <c r="F19" s="4">
        <v>1</v>
      </c>
      <c r="G19" s="4">
        <v>0</v>
      </c>
      <c r="H19" s="4">
        <v>0</v>
      </c>
      <c r="I19" s="4">
        <v>2</v>
      </c>
      <c r="J19" s="4">
        <v>3</v>
      </c>
      <c r="K19" s="4">
        <v>7</v>
      </c>
      <c r="L19" s="4">
        <v>4</v>
      </c>
      <c r="M19" s="3">
        <v>4</v>
      </c>
      <c r="N19" s="3">
        <v>4</v>
      </c>
      <c r="O19" s="12">
        <f t="shared" ref="O19" si="7">SUM(C19:N19)</f>
        <v>31</v>
      </c>
    </row>
    <row r="20" spans="2:15" ht="22.5" customHeight="1" x14ac:dyDescent="0.15">
      <c r="B20" s="4" t="s">
        <v>24</v>
      </c>
      <c r="C20" s="4"/>
      <c r="D20" s="4"/>
      <c r="E20" s="4"/>
      <c r="F20" s="4"/>
      <c r="G20" s="4"/>
      <c r="H20" s="4"/>
      <c r="I20" s="4"/>
      <c r="J20" s="4"/>
      <c r="K20" s="4"/>
      <c r="L20" s="4">
        <v>429</v>
      </c>
      <c r="M20" s="3">
        <v>310</v>
      </c>
      <c r="N20" s="3">
        <v>318</v>
      </c>
      <c r="O20" s="12">
        <f t="shared" si="6"/>
        <v>1057</v>
      </c>
    </row>
    <row r="21" spans="2:15" ht="22.5" customHeight="1" x14ac:dyDescent="0.15">
      <c r="B21" s="4" t="s">
        <v>0</v>
      </c>
      <c r="C21" s="4">
        <v>31</v>
      </c>
      <c r="D21" s="4">
        <v>19</v>
      </c>
      <c r="E21" s="4">
        <v>22</v>
      </c>
      <c r="F21" s="4">
        <v>24</v>
      </c>
      <c r="G21" s="4">
        <v>7</v>
      </c>
      <c r="H21" s="4">
        <v>9</v>
      </c>
      <c r="I21" s="4">
        <v>42</v>
      </c>
      <c r="J21" s="4">
        <v>44</v>
      </c>
      <c r="K21" s="4">
        <v>20</v>
      </c>
      <c r="L21" s="4">
        <v>31</v>
      </c>
      <c r="M21" s="3">
        <v>17</v>
      </c>
      <c r="N21" s="3">
        <v>11</v>
      </c>
      <c r="O21" s="12">
        <f>SUM(C21:N21)+O12</f>
        <v>589</v>
      </c>
    </row>
    <row r="22" spans="2:15" ht="22.5" customHeight="1" x14ac:dyDescent="0.15">
      <c r="C22" s="10"/>
      <c r="D22" s="10"/>
      <c r="E22" s="10"/>
      <c r="F22" s="10"/>
      <c r="G22" s="10"/>
      <c r="H22" s="10"/>
      <c r="I22" s="10"/>
      <c r="J22" s="10"/>
      <c r="N22" s="10"/>
    </row>
    <row r="23" spans="2:15" ht="22.5" customHeight="1" x14ac:dyDescent="0.15">
      <c r="B23" s="1" t="s">
        <v>25</v>
      </c>
    </row>
    <row r="24" spans="2:15" ht="22.5" customHeight="1" x14ac:dyDescent="0.15">
      <c r="B24" s="7"/>
      <c r="C24" s="7" t="s">
        <v>14</v>
      </c>
      <c r="D24" s="7" t="s">
        <v>15</v>
      </c>
      <c r="E24" s="7" t="s">
        <v>12</v>
      </c>
      <c r="F24" s="7" t="s">
        <v>13</v>
      </c>
      <c r="G24" s="7" t="s">
        <v>8</v>
      </c>
      <c r="H24" s="7" t="s">
        <v>16</v>
      </c>
      <c r="I24" s="7" t="s">
        <v>7</v>
      </c>
      <c r="J24" s="7" t="s">
        <v>6</v>
      </c>
      <c r="K24" s="7" t="s">
        <v>5</v>
      </c>
      <c r="L24" s="7" t="s">
        <v>9</v>
      </c>
      <c r="M24" s="7" t="s">
        <v>10</v>
      </c>
      <c r="N24" s="7" t="s">
        <v>11</v>
      </c>
      <c r="O24" s="6" t="s">
        <v>4</v>
      </c>
    </row>
    <row r="25" spans="2:15" ht="22.5" customHeight="1" x14ac:dyDescent="0.15">
      <c r="B25" s="4" t="s">
        <v>3</v>
      </c>
      <c r="C25" s="4">
        <v>38</v>
      </c>
      <c r="D25" s="4">
        <v>37</v>
      </c>
      <c r="E25" s="4">
        <v>26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3">
        <v>0</v>
      </c>
      <c r="N25" s="3">
        <v>0</v>
      </c>
      <c r="O25" s="12">
        <f>SUM(C25:N25)</f>
        <v>101</v>
      </c>
    </row>
    <row r="26" spans="2:15" ht="22.5" customHeight="1" x14ac:dyDescent="0.15">
      <c r="B26" s="4" t="s">
        <v>2</v>
      </c>
      <c r="C26" s="4">
        <v>16</v>
      </c>
      <c r="D26" s="4">
        <v>9</v>
      </c>
      <c r="E26" s="4">
        <v>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3">
        <v>0</v>
      </c>
      <c r="N26" s="3">
        <v>0</v>
      </c>
      <c r="O26" s="12">
        <f t="shared" ref="O26:O29" si="8">SUM(C26:N26)</f>
        <v>32</v>
      </c>
    </row>
    <row r="27" spans="2:15" ht="22.5" customHeight="1" x14ac:dyDescent="0.15">
      <c r="B27" s="4" t="s">
        <v>22</v>
      </c>
      <c r="C27" s="4">
        <v>7</v>
      </c>
      <c r="D27" s="4">
        <v>3</v>
      </c>
      <c r="E27" s="4">
        <v>5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3">
        <v>0</v>
      </c>
      <c r="N27" s="3">
        <v>0</v>
      </c>
      <c r="O27" s="12">
        <f t="shared" si="8"/>
        <v>15</v>
      </c>
    </row>
    <row r="28" spans="2:15" ht="22.5" customHeight="1" x14ac:dyDescent="0.15">
      <c r="B28" s="4" t="s">
        <v>1</v>
      </c>
      <c r="C28" s="4">
        <v>5</v>
      </c>
      <c r="D28" s="4">
        <v>6</v>
      </c>
      <c r="E28" s="4">
        <v>3</v>
      </c>
      <c r="F28" s="4">
        <v>1</v>
      </c>
      <c r="G28" s="4">
        <v>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3">
        <v>0</v>
      </c>
      <c r="N28" s="3">
        <v>0</v>
      </c>
      <c r="O28" s="12">
        <f t="shared" si="8"/>
        <v>17</v>
      </c>
    </row>
    <row r="29" spans="2:15" ht="22.5" customHeight="1" x14ac:dyDescent="0.15">
      <c r="B29" s="4" t="s">
        <v>24</v>
      </c>
      <c r="C29" s="4">
        <v>422</v>
      </c>
      <c r="D29" s="4">
        <v>351</v>
      </c>
      <c r="E29" s="4">
        <v>473</v>
      </c>
      <c r="F29" s="4">
        <v>182</v>
      </c>
      <c r="G29" s="4">
        <v>175</v>
      </c>
      <c r="H29" s="4">
        <v>260</v>
      </c>
      <c r="I29" s="4">
        <v>114</v>
      </c>
      <c r="J29" s="4">
        <v>57</v>
      </c>
      <c r="K29" s="4">
        <v>101</v>
      </c>
      <c r="L29" s="4">
        <v>63</v>
      </c>
      <c r="M29" s="3">
        <v>40</v>
      </c>
      <c r="N29" s="3">
        <v>34</v>
      </c>
      <c r="O29" s="12">
        <f t="shared" si="8"/>
        <v>2272</v>
      </c>
    </row>
    <row r="30" spans="2:15" ht="22.5" customHeight="1" x14ac:dyDescent="0.15">
      <c r="B30" s="4" t="s">
        <v>0</v>
      </c>
      <c r="C30" s="4">
        <v>10</v>
      </c>
      <c r="D30" s="4">
        <v>7</v>
      </c>
      <c r="E30" s="4">
        <v>10</v>
      </c>
      <c r="F30" s="4">
        <v>4</v>
      </c>
      <c r="G30" s="4">
        <v>3</v>
      </c>
      <c r="H30" s="4">
        <v>1</v>
      </c>
      <c r="I30" s="4">
        <v>0</v>
      </c>
      <c r="J30" s="4">
        <v>3</v>
      </c>
      <c r="K30" s="4">
        <v>6</v>
      </c>
      <c r="L30" s="4">
        <v>0</v>
      </c>
      <c r="M30" s="3">
        <v>2</v>
      </c>
      <c r="N30" s="3">
        <v>1</v>
      </c>
      <c r="O30" s="12">
        <f>SUM(C30:N30)+O21</f>
        <v>636</v>
      </c>
    </row>
    <row r="31" spans="2:15" ht="22.5" customHeight="1" x14ac:dyDescent="0.15">
      <c r="C31" s="10"/>
      <c r="D31" s="10"/>
      <c r="E31" s="10"/>
      <c r="F31" s="10"/>
      <c r="G31" s="10"/>
      <c r="H31" s="10"/>
      <c r="I31" s="10"/>
      <c r="J31" s="10"/>
      <c r="N31" s="10"/>
    </row>
    <row r="32" spans="2:15" ht="22.5" customHeight="1" x14ac:dyDescent="0.15">
      <c r="B32" s="1" t="s">
        <v>26</v>
      </c>
    </row>
    <row r="33" spans="2:15" ht="22.5" customHeight="1" x14ac:dyDescent="0.15">
      <c r="B33" s="7"/>
      <c r="C33" s="7" t="s">
        <v>14</v>
      </c>
      <c r="D33" s="7" t="s">
        <v>15</v>
      </c>
      <c r="E33" s="7" t="s">
        <v>12</v>
      </c>
      <c r="F33" s="7" t="s">
        <v>13</v>
      </c>
      <c r="G33" s="7" t="s">
        <v>8</v>
      </c>
      <c r="H33" s="7" t="s">
        <v>16</v>
      </c>
      <c r="I33" s="7" t="s">
        <v>7</v>
      </c>
      <c r="J33" s="7" t="s">
        <v>6</v>
      </c>
      <c r="K33" s="7" t="s">
        <v>5</v>
      </c>
      <c r="L33" s="7" t="s">
        <v>9</v>
      </c>
      <c r="M33" s="7" t="s">
        <v>10</v>
      </c>
      <c r="N33" s="7" t="s">
        <v>11</v>
      </c>
      <c r="O33" s="6" t="s">
        <v>4</v>
      </c>
    </row>
    <row r="34" spans="2:15" ht="22.5" customHeight="1" x14ac:dyDescent="0.15">
      <c r="B34" s="4" t="s">
        <v>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/>
      <c r="M34" s="3"/>
      <c r="N34" s="3"/>
      <c r="O34" s="12">
        <f>SUM(C34:N34)</f>
        <v>0</v>
      </c>
    </row>
    <row r="35" spans="2:15" ht="22.5" customHeight="1" x14ac:dyDescent="0.15">
      <c r="B35" s="4" t="s">
        <v>2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/>
      <c r="M35" s="3"/>
      <c r="N35" s="3"/>
      <c r="O35" s="12">
        <f t="shared" ref="O35:O38" si="9">SUM(C35:N35)</f>
        <v>0</v>
      </c>
    </row>
    <row r="36" spans="2:15" ht="22.5" customHeight="1" x14ac:dyDescent="0.15">
      <c r="B36" s="4" t="s">
        <v>22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/>
      <c r="M36" s="3"/>
      <c r="N36" s="3"/>
      <c r="O36" s="12">
        <f t="shared" si="9"/>
        <v>0</v>
      </c>
    </row>
    <row r="37" spans="2:15" ht="22.5" customHeight="1" x14ac:dyDescent="0.15">
      <c r="B37" s="4" t="s">
        <v>1</v>
      </c>
      <c r="C37" s="4">
        <v>1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</v>
      </c>
      <c r="L37" s="4"/>
      <c r="M37" s="3"/>
      <c r="N37" s="3"/>
      <c r="O37" s="12">
        <f t="shared" si="9"/>
        <v>3</v>
      </c>
    </row>
    <row r="38" spans="2:15" ht="22.5" customHeight="1" x14ac:dyDescent="0.15">
      <c r="B38" s="4" t="s">
        <v>24</v>
      </c>
      <c r="C38" s="4">
        <v>25</v>
      </c>
      <c r="D38" s="4">
        <v>11</v>
      </c>
      <c r="E38" s="4">
        <v>24</v>
      </c>
      <c r="F38" s="4">
        <v>14</v>
      </c>
      <c r="G38" s="4">
        <v>46</v>
      </c>
      <c r="H38" s="4">
        <v>30</v>
      </c>
      <c r="I38" s="4">
        <v>18</v>
      </c>
      <c r="J38" s="4">
        <v>8</v>
      </c>
      <c r="K38" s="4">
        <v>8</v>
      </c>
      <c r="L38" s="4"/>
      <c r="M38" s="3"/>
      <c r="N38" s="3"/>
      <c r="O38" s="12">
        <f t="shared" si="9"/>
        <v>184</v>
      </c>
    </row>
    <row r="39" spans="2:15" ht="22.5" customHeight="1" x14ac:dyDescent="0.15">
      <c r="B39" s="4" t="s">
        <v>0</v>
      </c>
      <c r="C39" s="4">
        <v>1</v>
      </c>
      <c r="D39" s="4">
        <v>2</v>
      </c>
      <c r="E39" s="4">
        <v>2</v>
      </c>
      <c r="F39" s="4">
        <v>3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/>
      <c r="M39" s="3"/>
      <c r="N39" s="3"/>
      <c r="O39" s="12">
        <f>SUM(C39:N39)+O30</f>
        <v>646</v>
      </c>
    </row>
    <row r="40" spans="2:15" ht="22.5" customHeight="1" x14ac:dyDescent="0.15">
      <c r="C40" s="10"/>
      <c r="D40" s="10"/>
      <c r="E40" s="10"/>
      <c r="F40" s="10"/>
      <c r="G40" s="10"/>
      <c r="H40" s="10"/>
      <c r="I40" s="10"/>
      <c r="J40" s="10"/>
      <c r="K40" s="1" t="s">
        <v>27</v>
      </c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22"/>
  <sheetViews>
    <sheetView topLeftCell="A25" zoomScaleNormal="100" workbookViewId="0">
      <selection activeCell="M16" sqref="M16:M20"/>
    </sheetView>
  </sheetViews>
  <sheetFormatPr defaultColWidth="12" defaultRowHeight="15.75" x14ac:dyDescent="0.15"/>
  <cols>
    <col min="1" max="1" width="12" style="1"/>
    <col min="2" max="2" width="13.625" style="1" customWidth="1"/>
    <col min="3" max="16384" width="12" style="1"/>
  </cols>
  <sheetData>
    <row r="1" spans="2:27" s="5" customFormat="1" x14ac:dyDescent="0.15">
      <c r="B1" s="7"/>
      <c r="C1" s="7" t="s">
        <v>19</v>
      </c>
      <c r="D1" s="7" t="s">
        <v>15</v>
      </c>
      <c r="E1" s="7" t="s">
        <v>12</v>
      </c>
      <c r="F1" s="7" t="s">
        <v>13</v>
      </c>
      <c r="G1" s="7" t="s">
        <v>8</v>
      </c>
      <c r="H1" s="7" t="s">
        <v>20</v>
      </c>
      <c r="I1" s="7" t="s">
        <v>7</v>
      </c>
      <c r="J1" s="7" t="s">
        <v>6</v>
      </c>
      <c r="K1" s="7" t="s">
        <v>5</v>
      </c>
      <c r="L1" s="7" t="s">
        <v>9</v>
      </c>
      <c r="M1" s="7" t="s">
        <v>10</v>
      </c>
      <c r="N1" s="7" t="s">
        <v>11</v>
      </c>
      <c r="O1" s="7" t="s">
        <v>14</v>
      </c>
      <c r="P1" s="7" t="s">
        <v>15</v>
      </c>
      <c r="Q1" s="7" t="s">
        <v>12</v>
      </c>
      <c r="R1" s="7" t="s">
        <v>13</v>
      </c>
      <c r="S1" s="7" t="s">
        <v>8</v>
      </c>
      <c r="T1" s="7" t="s">
        <v>21</v>
      </c>
      <c r="U1" s="7" t="s">
        <v>7</v>
      </c>
      <c r="V1" s="7" t="s">
        <v>6</v>
      </c>
      <c r="W1" s="7" t="s">
        <v>5</v>
      </c>
      <c r="X1" s="7" t="s">
        <v>9</v>
      </c>
      <c r="Y1" s="7" t="s">
        <v>10</v>
      </c>
      <c r="Z1" s="7" t="s">
        <v>11</v>
      </c>
      <c r="AA1" s="6" t="s">
        <v>4</v>
      </c>
    </row>
    <row r="2" spans="2:27" x14ac:dyDescent="0.15">
      <c r="B2" s="4" t="s">
        <v>3</v>
      </c>
      <c r="C2" s="4">
        <f>C9</f>
        <v>16</v>
      </c>
      <c r="D2" s="4">
        <f t="shared" ref="D2:N2" si="0">D9</f>
        <v>16</v>
      </c>
      <c r="E2" s="4">
        <f t="shared" si="0"/>
        <v>20</v>
      </c>
      <c r="F2" s="4">
        <f t="shared" si="0"/>
        <v>14</v>
      </c>
      <c r="G2" s="4">
        <f t="shared" si="0"/>
        <v>8</v>
      </c>
      <c r="H2" s="4">
        <f t="shared" si="0"/>
        <v>15</v>
      </c>
      <c r="I2" s="4">
        <f t="shared" si="0"/>
        <v>10</v>
      </c>
      <c r="J2" s="4">
        <f t="shared" si="0"/>
        <v>7</v>
      </c>
      <c r="K2" s="4">
        <f t="shared" si="0"/>
        <v>6</v>
      </c>
      <c r="L2" s="4">
        <f t="shared" si="0"/>
        <v>3</v>
      </c>
      <c r="M2" s="4">
        <f t="shared" si="0"/>
        <v>6</v>
      </c>
      <c r="N2" s="4">
        <f t="shared" si="0"/>
        <v>6</v>
      </c>
      <c r="O2" s="4">
        <f>C16</f>
        <v>15</v>
      </c>
      <c r="P2" s="4">
        <f t="shared" ref="P2:Z3" si="1">D16</f>
        <v>15</v>
      </c>
      <c r="Q2" s="4">
        <f t="shared" si="1"/>
        <v>12</v>
      </c>
      <c r="R2" s="4">
        <f t="shared" si="1"/>
        <v>7</v>
      </c>
      <c r="S2" s="4">
        <f t="shared" si="1"/>
        <v>8</v>
      </c>
      <c r="T2" s="4">
        <f t="shared" si="1"/>
        <v>1</v>
      </c>
      <c r="U2" s="4">
        <f t="shared" si="1"/>
        <v>41</v>
      </c>
      <c r="V2" s="4">
        <f t="shared" si="1"/>
        <v>64</v>
      </c>
      <c r="W2" s="4">
        <f t="shared" si="1"/>
        <v>64</v>
      </c>
      <c r="X2" s="4">
        <f t="shared" si="1"/>
        <v>45</v>
      </c>
      <c r="Y2" s="4">
        <f t="shared" si="1"/>
        <v>58</v>
      </c>
      <c r="Z2" s="4">
        <f t="shared" si="1"/>
        <v>0</v>
      </c>
      <c r="AA2" s="2">
        <f>SUM(C2:Z2)</f>
        <v>457</v>
      </c>
    </row>
    <row r="3" spans="2:27" x14ac:dyDescent="0.15">
      <c r="B3" s="4" t="s">
        <v>2</v>
      </c>
      <c r="C3" s="4">
        <f t="shared" ref="C3:N5" si="2">C10</f>
        <v>6</v>
      </c>
      <c r="D3" s="4">
        <f t="shared" si="2"/>
        <v>1</v>
      </c>
      <c r="E3" s="4">
        <f t="shared" si="2"/>
        <v>11</v>
      </c>
      <c r="F3" s="4">
        <f t="shared" si="2"/>
        <v>7</v>
      </c>
      <c r="G3" s="4">
        <f t="shared" si="2"/>
        <v>5</v>
      </c>
      <c r="H3" s="4">
        <f t="shared" si="2"/>
        <v>10</v>
      </c>
      <c r="I3" s="4">
        <f t="shared" si="2"/>
        <v>7</v>
      </c>
      <c r="J3" s="4">
        <f t="shared" si="2"/>
        <v>2</v>
      </c>
      <c r="K3" s="4">
        <f t="shared" si="2"/>
        <v>5</v>
      </c>
      <c r="L3" s="4">
        <f t="shared" si="2"/>
        <v>4</v>
      </c>
      <c r="M3" s="4">
        <f t="shared" si="2"/>
        <v>2</v>
      </c>
      <c r="N3" s="4">
        <f t="shared" si="2"/>
        <v>1</v>
      </c>
      <c r="O3" s="4">
        <f t="shared" ref="O3" si="3">C17</f>
        <v>11</v>
      </c>
      <c r="P3" s="4">
        <f t="shared" si="1"/>
        <v>21</v>
      </c>
      <c r="Q3" s="4">
        <f t="shared" si="1"/>
        <v>18</v>
      </c>
      <c r="R3" s="4">
        <f t="shared" si="1"/>
        <v>22</v>
      </c>
      <c r="S3" s="4">
        <f t="shared" si="1"/>
        <v>6</v>
      </c>
      <c r="T3" s="4">
        <f t="shared" si="1"/>
        <v>6</v>
      </c>
      <c r="U3" s="4">
        <f t="shared" si="1"/>
        <v>35</v>
      </c>
      <c r="V3" s="4">
        <f t="shared" si="1"/>
        <v>26</v>
      </c>
      <c r="W3" s="4">
        <f t="shared" si="1"/>
        <v>17</v>
      </c>
      <c r="X3" s="4">
        <f t="shared" si="1"/>
        <v>17</v>
      </c>
      <c r="Y3" s="4">
        <f t="shared" si="1"/>
        <v>18</v>
      </c>
      <c r="Z3" s="4">
        <f t="shared" si="1"/>
        <v>0</v>
      </c>
      <c r="AA3" s="2">
        <f t="shared" ref="AA3:AA5" si="4">SUM(C3:Z3)</f>
        <v>258</v>
      </c>
    </row>
    <row r="4" spans="2:27" x14ac:dyDescent="0.15">
      <c r="B4" s="4" t="s">
        <v>1</v>
      </c>
      <c r="C4" s="4">
        <f t="shared" si="2"/>
        <v>1</v>
      </c>
      <c r="D4" s="4">
        <f t="shared" si="2"/>
        <v>1</v>
      </c>
      <c r="E4" s="4">
        <f t="shared" si="2"/>
        <v>1</v>
      </c>
      <c r="F4" s="4">
        <f t="shared" si="2"/>
        <v>2</v>
      </c>
      <c r="G4" s="4">
        <f t="shared" si="2"/>
        <v>2</v>
      </c>
      <c r="H4" s="4">
        <f t="shared" si="2"/>
        <v>1</v>
      </c>
      <c r="I4" s="4">
        <f t="shared" si="2"/>
        <v>5</v>
      </c>
      <c r="J4" s="4">
        <f t="shared" si="2"/>
        <v>0</v>
      </c>
      <c r="K4" s="4">
        <f t="shared" si="2"/>
        <v>0</v>
      </c>
      <c r="L4" s="4">
        <f t="shared" si="2"/>
        <v>1</v>
      </c>
      <c r="M4" s="4">
        <f t="shared" si="2"/>
        <v>0</v>
      </c>
      <c r="N4" s="4">
        <f t="shared" si="2"/>
        <v>2</v>
      </c>
      <c r="O4" s="4">
        <f t="shared" ref="O4:Z5" si="5">C19</f>
        <v>5</v>
      </c>
      <c r="P4" s="4">
        <f t="shared" si="5"/>
        <v>0</v>
      </c>
      <c r="Q4" s="4">
        <f t="shared" si="5"/>
        <v>1</v>
      </c>
      <c r="R4" s="4">
        <f t="shared" si="5"/>
        <v>1</v>
      </c>
      <c r="S4" s="4">
        <f t="shared" si="5"/>
        <v>0</v>
      </c>
      <c r="T4" s="4">
        <f t="shared" si="5"/>
        <v>0</v>
      </c>
      <c r="U4" s="4">
        <f t="shared" si="5"/>
        <v>2</v>
      </c>
      <c r="V4" s="4">
        <f t="shared" si="5"/>
        <v>3</v>
      </c>
      <c r="W4" s="4">
        <f t="shared" si="5"/>
        <v>7</v>
      </c>
      <c r="X4" s="4">
        <f t="shared" si="5"/>
        <v>4</v>
      </c>
      <c r="Y4" s="4">
        <f t="shared" si="5"/>
        <v>4</v>
      </c>
      <c r="Z4" s="4">
        <f t="shared" si="5"/>
        <v>0</v>
      </c>
      <c r="AA4" s="2">
        <f t="shared" si="4"/>
        <v>43</v>
      </c>
    </row>
    <row r="5" spans="2:27" x14ac:dyDescent="0.15">
      <c r="B5" s="4" t="s">
        <v>0</v>
      </c>
      <c r="C5" s="4">
        <f t="shared" si="2"/>
        <v>49</v>
      </c>
      <c r="D5" s="4">
        <f t="shared" si="2"/>
        <v>45</v>
      </c>
      <c r="E5" s="4">
        <f t="shared" si="2"/>
        <v>25</v>
      </c>
      <c r="F5" s="4">
        <f t="shared" si="2"/>
        <v>31</v>
      </c>
      <c r="G5" s="4">
        <f t="shared" si="2"/>
        <v>22</v>
      </c>
      <c r="H5" s="4">
        <f t="shared" si="2"/>
        <v>32</v>
      </c>
      <c r="I5" s="4">
        <f t="shared" si="2"/>
        <v>13</v>
      </c>
      <c r="J5" s="4">
        <f t="shared" si="2"/>
        <v>20</v>
      </c>
      <c r="K5" s="4">
        <f t="shared" si="2"/>
        <v>26</v>
      </c>
      <c r="L5" s="4">
        <f t="shared" si="2"/>
        <v>13</v>
      </c>
      <c r="M5" s="4">
        <f t="shared" si="2"/>
        <v>13</v>
      </c>
      <c r="N5" s="4">
        <f t="shared" si="2"/>
        <v>23</v>
      </c>
      <c r="O5" s="4">
        <f t="shared" si="5"/>
        <v>31</v>
      </c>
      <c r="P5" s="4">
        <f t="shared" si="5"/>
        <v>19</v>
      </c>
      <c r="Q5" s="4">
        <f t="shared" si="5"/>
        <v>22</v>
      </c>
      <c r="R5" s="4">
        <f t="shared" si="5"/>
        <v>24</v>
      </c>
      <c r="S5" s="4">
        <f t="shared" si="5"/>
        <v>7</v>
      </c>
      <c r="T5" s="4">
        <f t="shared" si="5"/>
        <v>9</v>
      </c>
      <c r="U5" s="4">
        <f t="shared" si="5"/>
        <v>42</v>
      </c>
      <c r="V5" s="4">
        <f t="shared" si="5"/>
        <v>44</v>
      </c>
      <c r="W5" s="4">
        <f t="shared" si="5"/>
        <v>20</v>
      </c>
      <c r="X5" s="4">
        <f t="shared" si="5"/>
        <v>31</v>
      </c>
      <c r="Y5" s="4">
        <f t="shared" si="5"/>
        <v>17</v>
      </c>
      <c r="Z5" s="4">
        <f t="shared" si="5"/>
        <v>0</v>
      </c>
      <c r="AA5" s="2">
        <f t="shared" si="4"/>
        <v>578</v>
      </c>
    </row>
    <row r="6" spans="2:27" s="8" customFormat="1" ht="12" customHeight="1" x14ac:dyDescent="0.15">
      <c r="E6" s="9"/>
    </row>
    <row r="7" spans="2:27" x14ac:dyDescent="0.15">
      <c r="B7" s="1" t="s">
        <v>17</v>
      </c>
    </row>
    <row r="8" spans="2:27" x14ac:dyDescent="0.15">
      <c r="B8" s="7"/>
      <c r="C8" s="7" t="s">
        <v>14</v>
      </c>
      <c r="D8" s="7" t="s">
        <v>15</v>
      </c>
      <c r="E8" s="7" t="s">
        <v>12</v>
      </c>
      <c r="F8" s="7" t="s">
        <v>13</v>
      </c>
      <c r="G8" s="7" t="s">
        <v>8</v>
      </c>
      <c r="H8" s="7" t="s">
        <v>16</v>
      </c>
      <c r="I8" s="7" t="s">
        <v>7</v>
      </c>
      <c r="J8" s="7" t="s">
        <v>6</v>
      </c>
      <c r="K8" s="7" t="s">
        <v>5</v>
      </c>
      <c r="L8" s="7" t="s">
        <v>9</v>
      </c>
      <c r="M8" s="7" t="s">
        <v>10</v>
      </c>
      <c r="N8" s="7" t="s">
        <v>11</v>
      </c>
      <c r="O8" s="6" t="s">
        <v>4</v>
      </c>
    </row>
    <row r="9" spans="2:27" x14ac:dyDescent="0.15">
      <c r="B9" s="4" t="s">
        <v>3</v>
      </c>
      <c r="C9" s="4">
        <v>16</v>
      </c>
      <c r="D9" s="4">
        <v>16</v>
      </c>
      <c r="E9" s="4">
        <v>20</v>
      </c>
      <c r="F9" s="4">
        <v>14</v>
      </c>
      <c r="G9" s="4">
        <v>8</v>
      </c>
      <c r="H9" s="4">
        <v>15</v>
      </c>
      <c r="I9" s="4">
        <v>10</v>
      </c>
      <c r="J9" s="4">
        <v>7</v>
      </c>
      <c r="K9" s="4">
        <v>6</v>
      </c>
      <c r="L9" s="4">
        <v>3</v>
      </c>
      <c r="M9" s="3">
        <v>6</v>
      </c>
      <c r="N9" s="11">
        <v>6</v>
      </c>
      <c r="O9" s="2">
        <f>SUM(C9:N9)</f>
        <v>127</v>
      </c>
    </row>
    <row r="10" spans="2:27" x14ac:dyDescent="0.15">
      <c r="B10" s="4" t="s">
        <v>2</v>
      </c>
      <c r="C10" s="4">
        <v>6</v>
      </c>
      <c r="D10" s="4">
        <v>1</v>
      </c>
      <c r="E10" s="4">
        <v>11</v>
      </c>
      <c r="F10" s="4">
        <v>7</v>
      </c>
      <c r="G10" s="4">
        <v>5</v>
      </c>
      <c r="H10" s="4">
        <v>10</v>
      </c>
      <c r="I10" s="4">
        <v>7</v>
      </c>
      <c r="J10" s="4">
        <v>2</v>
      </c>
      <c r="K10" s="4">
        <v>5</v>
      </c>
      <c r="L10" s="4">
        <v>4</v>
      </c>
      <c r="M10" s="3">
        <v>2</v>
      </c>
      <c r="N10" s="11">
        <v>1</v>
      </c>
      <c r="O10" s="2">
        <f>SUM(C10:N10)</f>
        <v>61</v>
      </c>
    </row>
    <row r="11" spans="2:27" x14ac:dyDescent="0.15">
      <c r="B11" s="4" t="s">
        <v>1</v>
      </c>
      <c r="C11" s="4">
        <v>1</v>
      </c>
      <c r="D11" s="4">
        <v>1</v>
      </c>
      <c r="E11" s="4">
        <v>1</v>
      </c>
      <c r="F11" s="4">
        <v>2</v>
      </c>
      <c r="G11" s="4">
        <v>2</v>
      </c>
      <c r="H11" s="4">
        <v>1</v>
      </c>
      <c r="I11" s="4">
        <v>5</v>
      </c>
      <c r="J11" s="4">
        <v>0</v>
      </c>
      <c r="K11" s="4">
        <v>0</v>
      </c>
      <c r="L11" s="4">
        <v>1</v>
      </c>
      <c r="M11" s="3">
        <v>0</v>
      </c>
      <c r="N11" s="3">
        <v>2</v>
      </c>
      <c r="O11" s="2">
        <f>SUM(C11:N11)</f>
        <v>16</v>
      </c>
    </row>
    <row r="12" spans="2:27" x14ac:dyDescent="0.15">
      <c r="B12" s="4" t="s">
        <v>0</v>
      </c>
      <c r="C12" s="4">
        <v>49</v>
      </c>
      <c r="D12" s="4">
        <v>45</v>
      </c>
      <c r="E12" s="4">
        <v>25</v>
      </c>
      <c r="F12" s="4">
        <v>31</v>
      </c>
      <c r="G12" s="4">
        <v>22</v>
      </c>
      <c r="H12" s="4">
        <v>32</v>
      </c>
      <c r="I12" s="4">
        <v>13</v>
      </c>
      <c r="J12" s="4">
        <v>20</v>
      </c>
      <c r="K12" s="4">
        <v>26</v>
      </c>
      <c r="L12" s="4">
        <v>13</v>
      </c>
      <c r="M12" s="3">
        <v>13</v>
      </c>
      <c r="N12" s="3">
        <v>23</v>
      </c>
      <c r="O12" s="2">
        <f>SUM(C12:N12)</f>
        <v>312</v>
      </c>
    </row>
    <row r="14" spans="2:27" x14ac:dyDescent="0.15">
      <c r="B14" s="1" t="s">
        <v>18</v>
      </c>
    </row>
    <row r="15" spans="2:27" x14ac:dyDescent="0.15">
      <c r="B15" s="7"/>
      <c r="C15" s="7" t="s">
        <v>14</v>
      </c>
      <c r="D15" s="7" t="s">
        <v>15</v>
      </c>
      <c r="E15" s="7" t="s">
        <v>12</v>
      </c>
      <c r="F15" s="7" t="s">
        <v>13</v>
      </c>
      <c r="G15" s="7" t="s">
        <v>8</v>
      </c>
      <c r="H15" s="7" t="s">
        <v>16</v>
      </c>
      <c r="I15" s="7" t="s">
        <v>7</v>
      </c>
      <c r="J15" s="7" t="s">
        <v>6</v>
      </c>
      <c r="K15" s="7" t="s">
        <v>5</v>
      </c>
      <c r="L15" s="7" t="s">
        <v>9</v>
      </c>
      <c r="M15" s="7" t="s">
        <v>10</v>
      </c>
      <c r="N15" s="7" t="s">
        <v>11</v>
      </c>
      <c r="O15" s="6" t="s">
        <v>4</v>
      </c>
    </row>
    <row r="16" spans="2:27" x14ac:dyDescent="0.15">
      <c r="B16" s="4" t="s">
        <v>3</v>
      </c>
      <c r="C16" s="4">
        <v>15</v>
      </c>
      <c r="D16" s="4">
        <v>15</v>
      </c>
      <c r="E16" s="4">
        <v>12</v>
      </c>
      <c r="F16" s="4">
        <v>7</v>
      </c>
      <c r="G16" s="4">
        <v>8</v>
      </c>
      <c r="H16" s="4">
        <v>1</v>
      </c>
      <c r="I16" s="4">
        <v>41</v>
      </c>
      <c r="J16" s="4">
        <v>64</v>
      </c>
      <c r="K16" s="4">
        <v>64</v>
      </c>
      <c r="L16" s="4">
        <v>45</v>
      </c>
      <c r="M16" s="3">
        <v>58</v>
      </c>
      <c r="N16" s="3"/>
      <c r="O16" s="2">
        <f>SUM(C16:N16)+O9</f>
        <v>457</v>
      </c>
    </row>
    <row r="17" spans="2:15" x14ac:dyDescent="0.15">
      <c r="B17" s="4" t="s">
        <v>2</v>
      </c>
      <c r="C17" s="4">
        <v>11</v>
      </c>
      <c r="D17" s="4">
        <v>21</v>
      </c>
      <c r="E17" s="4">
        <v>18</v>
      </c>
      <c r="F17" s="4">
        <v>22</v>
      </c>
      <c r="G17" s="4">
        <v>6</v>
      </c>
      <c r="H17" s="4">
        <v>6</v>
      </c>
      <c r="I17" s="4">
        <v>35</v>
      </c>
      <c r="J17" s="4">
        <v>26</v>
      </c>
      <c r="K17" s="4">
        <v>17</v>
      </c>
      <c r="L17" s="4">
        <v>17</v>
      </c>
      <c r="M17" s="3">
        <v>18</v>
      </c>
      <c r="N17" s="3"/>
      <c r="O17" s="2">
        <f t="shared" ref="O17" si="6">SUM(C17:N17)+O10</f>
        <v>258</v>
      </c>
    </row>
    <row r="18" spans="2:15" x14ac:dyDescent="0.15">
      <c r="B18" s="4" t="s">
        <v>22</v>
      </c>
      <c r="C18" s="4"/>
      <c r="D18" s="4"/>
      <c r="E18" s="4"/>
      <c r="F18" s="4"/>
      <c r="G18" s="4"/>
      <c r="H18" s="4"/>
      <c r="I18" s="4"/>
      <c r="J18" s="4">
        <v>5</v>
      </c>
      <c r="K18" s="4">
        <v>9</v>
      </c>
      <c r="L18" s="4">
        <v>4</v>
      </c>
      <c r="M18" s="3">
        <v>13</v>
      </c>
      <c r="N18" s="3"/>
      <c r="O18" s="2">
        <f>SUM(C18:N18)</f>
        <v>31</v>
      </c>
    </row>
    <row r="19" spans="2:15" x14ac:dyDescent="0.15">
      <c r="B19" s="4" t="s">
        <v>1</v>
      </c>
      <c r="C19" s="4">
        <v>5</v>
      </c>
      <c r="D19" s="4">
        <v>0</v>
      </c>
      <c r="E19" s="4">
        <v>1</v>
      </c>
      <c r="F19" s="4">
        <v>1</v>
      </c>
      <c r="G19" s="4">
        <v>0</v>
      </c>
      <c r="H19" s="4">
        <v>0</v>
      </c>
      <c r="I19" s="4">
        <v>2</v>
      </c>
      <c r="J19" s="4">
        <v>3</v>
      </c>
      <c r="K19" s="4">
        <v>7</v>
      </c>
      <c r="L19" s="4">
        <v>4</v>
      </c>
      <c r="M19" s="3">
        <v>4</v>
      </c>
      <c r="N19" s="3"/>
      <c r="O19" s="2">
        <f>SUM(C19:N19)+O11</f>
        <v>43</v>
      </c>
    </row>
    <row r="20" spans="2:15" x14ac:dyDescent="0.15">
      <c r="B20" s="4" t="s">
        <v>0</v>
      </c>
      <c r="C20" s="4">
        <v>31</v>
      </c>
      <c r="D20" s="4">
        <v>19</v>
      </c>
      <c r="E20" s="4">
        <v>22</v>
      </c>
      <c r="F20" s="4">
        <v>24</v>
      </c>
      <c r="G20" s="4">
        <v>7</v>
      </c>
      <c r="H20" s="4">
        <v>9</v>
      </c>
      <c r="I20" s="4">
        <v>42</v>
      </c>
      <c r="J20" s="4">
        <v>44</v>
      </c>
      <c r="K20" s="4">
        <v>20</v>
      </c>
      <c r="L20" s="4">
        <v>31</v>
      </c>
      <c r="M20" s="3">
        <v>17</v>
      </c>
      <c r="N20" s="3"/>
      <c r="O20" s="2">
        <f>SUM(C20:N20)+O12</f>
        <v>578</v>
      </c>
    </row>
    <row r="21" spans="2:15" x14ac:dyDescent="0.15">
      <c r="C21" s="10"/>
      <c r="D21" s="10"/>
      <c r="E21" s="10"/>
      <c r="F21" s="10"/>
      <c r="G21" s="10"/>
      <c r="H21" s="10"/>
      <c r="I21" s="10"/>
      <c r="J21" s="10"/>
      <c r="M21" s="10" t="s">
        <v>23</v>
      </c>
      <c r="N21" s="10"/>
    </row>
    <row r="22" spans="2:15" ht="4.5" customHeight="1" x14ac:dyDescent="0.15"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39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ミドリノタネ</vt:lpstr>
      <vt:lpstr>ミドリノタネ パルシェ静岡店 (2)</vt:lpstr>
      <vt:lpstr>ミドリノタネ!Print_Area</vt:lpstr>
      <vt:lpstr>'ミドリノタネ パルシェ静岡店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2025-07-29T01:53:17Z</cp:lastPrinted>
  <dcterms:created xsi:type="dcterms:W3CDTF">2018-10-31T01:38:43Z</dcterms:created>
  <dcterms:modified xsi:type="dcterms:W3CDTF">2026-04-27T01:42:21Z</dcterms:modified>
</cp:coreProperties>
</file>