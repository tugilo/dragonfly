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Dahlia" sheetId="1" r:id="rId1"/>
    <sheet name="Dahlia (2)" sheetId="2" r:id="rId2"/>
  </sheets>
  <definedNames>
    <definedName name="_xlnm.Print_Area" localSheetId="0">Dahlia!$A$9:$P$26</definedName>
    <definedName name="_xlnm.Print_Area" localSheetId="1">'Dahlia (2)'!$A$7:$P$53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" i="1" l="1"/>
  <c r="O24" i="1"/>
  <c r="O23" i="1"/>
  <c r="O22" i="1"/>
  <c r="O21" i="1"/>
  <c r="O20" i="1"/>
  <c r="M2" i="1" l="1"/>
  <c r="N2" i="1"/>
  <c r="M3" i="1"/>
  <c r="N3" i="1"/>
  <c r="M4" i="1"/>
  <c r="N4" i="1"/>
  <c r="M5" i="1"/>
  <c r="N5" i="1"/>
  <c r="M6" i="1"/>
  <c r="N6" i="1"/>
  <c r="M7" i="1"/>
  <c r="N7" i="1"/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D4" i="1"/>
  <c r="D5" i="1"/>
  <c r="D6" i="1"/>
  <c r="D7" i="1"/>
  <c r="D2" i="1"/>
  <c r="C4" i="1"/>
  <c r="C5" i="1"/>
  <c r="C6" i="1"/>
  <c r="C7" i="1"/>
  <c r="C3" i="1"/>
  <c r="C2" i="1"/>
  <c r="D3" i="1"/>
  <c r="O14" i="1"/>
  <c r="O13" i="2"/>
  <c r="O12" i="2"/>
  <c r="O11" i="2"/>
  <c r="O10" i="2"/>
  <c r="O9" i="2"/>
  <c r="N5" i="2"/>
  <c r="M5" i="2"/>
  <c r="L5" i="2"/>
  <c r="K5" i="2"/>
  <c r="J5" i="2"/>
  <c r="I5" i="2"/>
  <c r="H5" i="2"/>
  <c r="G5" i="2"/>
  <c r="F5" i="2"/>
  <c r="E5" i="2"/>
  <c r="D5" i="2"/>
  <c r="C5" i="2"/>
  <c r="O5" i="2" s="1"/>
  <c r="N4" i="2"/>
  <c r="M4" i="2"/>
  <c r="L4" i="2"/>
  <c r="K4" i="2"/>
  <c r="J4" i="2"/>
  <c r="I4" i="2"/>
  <c r="H4" i="2"/>
  <c r="G4" i="2"/>
  <c r="F4" i="2"/>
  <c r="E4" i="2"/>
  <c r="D4" i="2"/>
  <c r="C4" i="2"/>
  <c r="O4" i="2" s="1"/>
  <c r="N3" i="2"/>
  <c r="M3" i="2"/>
  <c r="L3" i="2"/>
  <c r="K3" i="2"/>
  <c r="J3" i="2"/>
  <c r="I3" i="2"/>
  <c r="H3" i="2"/>
  <c r="G3" i="2"/>
  <c r="F3" i="2"/>
  <c r="E3" i="2"/>
  <c r="D3" i="2"/>
  <c r="C3" i="2"/>
  <c r="O3" i="2" s="1"/>
  <c r="N2" i="2"/>
  <c r="M2" i="2"/>
  <c r="L2" i="2"/>
  <c r="K2" i="2"/>
  <c r="J2" i="2"/>
  <c r="I2" i="2"/>
  <c r="H2" i="2"/>
  <c r="G2" i="2"/>
  <c r="F2" i="2"/>
  <c r="E2" i="2"/>
  <c r="D2" i="2"/>
  <c r="C2" i="2"/>
  <c r="O2" i="2" s="1"/>
  <c r="O13" i="1"/>
  <c r="O6" i="1" l="1"/>
  <c r="O5" i="1"/>
  <c r="O7" i="1"/>
  <c r="O4" i="1"/>
  <c r="O3" i="1"/>
  <c r="O2" i="1"/>
  <c r="O16" i="1"/>
  <c r="O15" i="1"/>
  <c r="O12" i="1"/>
  <c r="O11" i="1"/>
</calcChain>
</file>

<file path=xl/sharedStrings.xml><?xml version="1.0" encoding="utf-8"?>
<sst xmlns="http://schemas.openxmlformats.org/spreadsheetml/2006/main" count="97" uniqueCount="28">
  <si>
    <t>アプリDL</t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</si>
  <si>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</si>
  <si>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</si>
  <si>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</si>
  <si>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</si>
  <si>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</si>
  <si>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</si>
  <si>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</si>
  <si>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7月</t>
  </si>
  <si>
    <t>11月</t>
  </si>
  <si>
    <t>8月</t>
  </si>
  <si>
    <t>9月</t>
  </si>
  <si>
    <t>1月</t>
  </si>
  <si>
    <t>2024/1月</t>
    <phoneticPr fontId="2"/>
  </si>
  <si>
    <t>スタンプクーポン</t>
    <phoneticPr fontId="2"/>
  </si>
  <si>
    <t>10月</t>
  </si>
  <si>
    <t>5/26~6/25</t>
    <phoneticPr fontId="2"/>
  </si>
  <si>
    <t>2024/6月</t>
    <phoneticPr fontId="2"/>
  </si>
  <si>
    <t>2024年6月～2024年5月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</si>
  <si>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7月</t>
    <phoneticPr fontId="2"/>
  </si>
  <si>
    <t>6月</t>
    <phoneticPr fontId="2"/>
  </si>
  <si>
    <t>5月</t>
  </si>
  <si>
    <t>閲覧数</t>
    <rPh sb="0" eb="2">
      <t>エツラン</t>
    </rPh>
    <rPh sb="2" eb="3">
      <t>スウ</t>
    </rPh>
    <phoneticPr fontId="2"/>
  </si>
  <si>
    <t>閲覧数</t>
    <rPh sb="0" eb="3">
      <t>エツランスウ</t>
    </rPh>
    <phoneticPr fontId="2"/>
  </si>
  <si>
    <t>友達紹介</t>
    <rPh sb="0" eb="2">
      <t>トモダチ</t>
    </rPh>
    <rPh sb="2" eb="4">
      <t>ショウカイ</t>
    </rPh>
    <phoneticPr fontId="2"/>
  </si>
  <si>
    <t>2024年6月～2025年5月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</si>
  <si>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2025年6月～2026年5月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</si>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</sst>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56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'Dahlia (2)'!$B$7</c:f>
              <c:strCache>
                <c:ptCount val="1"/>
                <c:pt idx="0">
                  <c:v>2024年6月～2024年5月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'Dahlia (2)'!$C$8:$N$8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'Dahlia (2)'!$C$9:$N$9</c:f>
              <c:numCache>
                <c:formatCode>General</c:formatCode>
                <c:ptCount val="12"/>
                <c:pt idx="0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499-43DF-988D-3E97E45FF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659360"/>
        <c:axId val="475659752"/>
        <c:extLst xmlns:c16r2="http://schemas.microsoft.com/office/drawing/2015/06/chart"/>
      </c:barChart>
      <c:catAx>
        <c:axId val="475659360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59752"/>
        <c:crosses val="autoZero"/>
        <c:auto val="1"/>
        <c:lblAlgn val="ctr"/>
        <c:lblOffset val="100"/>
        <c:noMultiLvlLbl val="0"/>
      </c:catAx>
      <c:valAx>
        <c:axId val="47565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5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23805037261089"/>
          <c:y val="5.1966977964963683E-2"/>
          <c:w val="0.2650066853523634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3690682241559642"/>
          <c:h val="0.76647281294562586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'Dahlia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f>'Dahlia (2)'!$C$1:$M$1</c:f>
              <c:strCache>
                <c:ptCount val="11"/>
                <c:pt idx="0">
                  <c:v>2024/6月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2024/1月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</c:strCache>
            </c:strRef>
          </c:cat>
          <c:val>
            <c:numRef>
              <c:f>'Dahlia (2)'!$C$5:$N$5</c:f>
              <c:numCache>
                <c:formatCode>General</c:formatCode>
                <c:ptCount val="12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BC-40CF-96D5-0CD507D32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662496"/>
        <c:axId val="475662888"/>
        <c:extLst xmlns:c16r2="http://schemas.microsoft.com/office/drawing/2015/06/chart"/>
      </c:barChart>
      <c:catAx>
        <c:axId val="47566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62888"/>
        <c:crosses val="autoZero"/>
        <c:auto val="1"/>
        <c:lblAlgn val="ctr"/>
        <c:lblOffset val="100"/>
        <c:noMultiLvlLbl val="0"/>
      </c:catAx>
      <c:valAx>
        <c:axId val="47566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6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閲覧数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'Dahlia (2)'!$B$7</c:f>
              <c:strCache>
                <c:ptCount val="1"/>
                <c:pt idx="0">
                  <c:v>2024年6月～2024年5月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'Dahlia (2)'!$C$8:$N$8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'Dahlia (2)'!$C$12:$N$12</c:f>
              <c:numCache>
                <c:formatCode>General</c:formatCode>
                <c:ptCount val="12"/>
                <c:pt idx="0">
                  <c:v>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06E-48C5-8F0A-D1DFB4DF4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663280"/>
        <c:axId val="472532848"/>
        <c:extLst xmlns:c16r2="http://schemas.microsoft.com/office/drawing/2015/06/chart"/>
      </c:barChart>
      <c:catAx>
        <c:axId val="475663280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2848"/>
        <c:crosses val="autoZero"/>
        <c:auto val="1"/>
        <c:lblAlgn val="ctr"/>
        <c:lblOffset val="100"/>
        <c:noMultiLvlLbl val="0"/>
      </c:catAx>
      <c:valAx>
        <c:axId val="47253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6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45204702597775"/>
          <c:y val="4.8113522192102305E-2"/>
          <c:w val="0.2466149002842789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'Dahlia (2)'!$B$7</c:f>
              <c:strCache>
                <c:ptCount val="1"/>
                <c:pt idx="0">
                  <c:v>2024年6月～2024年5月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'Dahlia (2)'!$C$8:$N$8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'Dahlia (2)'!$C$11:$N$11</c:f>
              <c:numCache>
                <c:formatCode>General</c:formatCode>
                <c:ptCount val="12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F6D-4518-94D5-441ACA5F0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535200"/>
        <c:axId val="472534024"/>
        <c:extLst xmlns:c16r2="http://schemas.microsoft.com/office/drawing/2015/06/chart"/>
      </c:barChart>
      <c:catAx>
        <c:axId val="472535200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4024"/>
        <c:crosses val="autoZero"/>
        <c:auto val="1"/>
        <c:lblAlgn val="ctr"/>
        <c:lblOffset val="100"/>
        <c:noMultiLvlLbl val="0"/>
      </c:catAx>
      <c:valAx>
        <c:axId val="47253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53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23805037261089"/>
          <c:y val="5.1966977964963683E-2"/>
          <c:w val="0.2650066853523634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15</xdr:row>
      <xdr:rowOff>38099</xdr:rowOff>
    </xdr:from>
    <xdr:to>
      <xdr:col>7</xdr:col>
      <xdr:colOff>523875</xdr:colOff>
      <xdr:row>32</xdr:row>
      <xdr:rowOff>95249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13E87483-9C3A-48B9-9AF7-C5D12C40F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666750</xdr:colOff>
      <xdr:row>32</xdr:row>
      <xdr:rowOff>190500</xdr:rowOff>
    </xdr:from>
    <xdr:to>
      <xdr:col>15</xdr:col>
      <xdr:colOff>514351</xdr:colOff>
      <xdr:row>51</xdr:row>
      <xdr:rowOff>19050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E505EDD1-1135-45AE-82DF-2D7B27DD3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257175</xdr:colOff>
      <xdr:row>33</xdr:row>
      <xdr:rowOff>19049</xdr:rowOff>
    </xdr:from>
    <xdr:to>
      <xdr:col>7</xdr:col>
      <xdr:colOff>533400</xdr:colOff>
      <xdr:row>51</xdr:row>
      <xdr:rowOff>28574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8D5CC935-9379-4936-A289-71A6DFFF3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666750</xdr:colOff>
      <xdr:row>15</xdr:row>
      <xdr:rowOff>28575</xdr:rowOff>
    </xdr:from>
    <xdr:to>
      <xdr:col>15</xdr:col>
      <xdr:colOff>485775</xdr:colOff>
      <xdr:row>32</xdr:row>
      <xdr:rowOff>85725</xdr:rowOff>
    </xdr:to>
    <xdr:graphicFrame macro="">
      <xdr:nvGraphicFramePr>
        <xdr:cNvPr id="5" name="グラフ 4">
          <a:extLst>
            <a:ext uri="{FF2B5EF4-FFF2-40B4-BE49-F238E27FC236}">
              <a16:creationId xmlns="" xmlns:a16="http://schemas.microsoft.com/office/drawing/2014/main" id="{642408AB-71AF-4AB9-8664-6E04373AF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6"/>
  <sheetViews>
    <sheetView tabSelected="1" topLeftCell="A4" zoomScaleNormal="100" workbookViewId="0">
      <selection activeCell="M26" sqref="M26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s="5" customFormat="1" x14ac:dyDescent="0.15">
      <c r="B1" s="7"/>
      <c r="C1" s="7" t="s">
        <v>17</v>
      </c>
      <c r="D1" s="7" t="s">
        <v>19</v>
      </c>
      <c r="E1" s="7" t="s">
        <v>10</v>
      </c>
      <c r="F1" s="7" t="s">
        <v>11</v>
      </c>
      <c r="G1" s="7" t="s">
        <v>15</v>
      </c>
      <c r="H1" s="7" t="s">
        <v>9</v>
      </c>
      <c r="I1" s="7" t="s">
        <v>7</v>
      </c>
      <c r="J1" s="7" t="s">
        <v>13</v>
      </c>
      <c r="K1" s="7" t="s">
        <v>6</v>
      </c>
      <c r="L1" s="7" t="s">
        <v>5</v>
      </c>
      <c r="M1" s="7" t="s">
        <v>4</v>
      </c>
      <c r="N1" s="7" t="s">
        <v>21</v>
      </c>
      <c r="O1" s="6" t="s">
        <v>3</v>
      </c>
    </row>
    <row r="2" spans="2:15" x14ac:dyDescent="0.15">
      <c r="B2" s="4" t="s">
        <v>2</v>
      </c>
      <c r="C2" s="4">
        <f>C11</f>
        <v>11</v>
      </c>
      <c r="D2" s="4">
        <f>D11</f>
        <v>18</v>
      </c>
      <c r="E2" s="4">
        <f t="shared" ref="E2:L2" si="0">E11</f>
        <v>21</v>
      </c>
      <c r="F2" s="4">
        <f t="shared" si="0"/>
        <v>13</v>
      </c>
      <c r="G2" s="4">
        <f t="shared" si="0"/>
        <v>17</v>
      </c>
      <c r="H2" s="4">
        <f t="shared" si="0"/>
        <v>2</v>
      </c>
      <c r="I2" s="4">
        <f t="shared" si="0"/>
        <v>10</v>
      </c>
      <c r="J2" s="4">
        <f t="shared" si="0"/>
        <v>7</v>
      </c>
      <c r="K2" s="4">
        <f t="shared" si="0"/>
        <v>11</v>
      </c>
      <c r="L2" s="4">
        <f t="shared" si="0"/>
        <v>9</v>
      </c>
      <c r="M2" s="4">
        <f t="shared" ref="M2:N2" si="1">M11</f>
        <v>12</v>
      </c>
      <c r="N2" s="4">
        <f t="shared" si="1"/>
        <v>8</v>
      </c>
      <c r="O2" s="2">
        <f>SUM(C2:N2)</f>
        <v>139</v>
      </c>
    </row>
    <row r="3" spans="2:15" x14ac:dyDescent="0.15">
      <c r="B3" s="4" t="s">
        <v>1</v>
      </c>
      <c r="C3" s="4">
        <f>C12</f>
        <v>0</v>
      </c>
      <c r="D3" s="4">
        <f>D12</f>
        <v>0</v>
      </c>
      <c r="E3" s="4">
        <f t="shared" ref="E3:L3" si="2">E12</f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ref="M3:N3" si="3">M12</f>
        <v>0</v>
      </c>
      <c r="N3" s="4">
        <f t="shared" si="3"/>
        <v>0</v>
      </c>
      <c r="O3" s="2">
        <f t="shared" ref="O3:O7" si="4">SUM(C3:N3)</f>
        <v>0</v>
      </c>
    </row>
    <row r="4" spans="2:15" x14ac:dyDescent="0.15">
      <c r="B4" s="4" t="s">
        <v>14</v>
      </c>
      <c r="C4" s="4">
        <f t="shared" ref="C4:D7" si="5">C13</f>
        <v>0</v>
      </c>
      <c r="D4" s="4">
        <f t="shared" si="5"/>
        <v>1</v>
      </c>
      <c r="E4" s="4">
        <f t="shared" ref="E4:L4" si="6">E13</f>
        <v>6</v>
      </c>
      <c r="F4" s="4">
        <f t="shared" si="6"/>
        <v>5</v>
      </c>
      <c r="G4" s="4">
        <f t="shared" si="6"/>
        <v>3</v>
      </c>
      <c r="H4" s="4">
        <f t="shared" si="6"/>
        <v>2</v>
      </c>
      <c r="I4" s="4">
        <f t="shared" si="6"/>
        <v>1</v>
      </c>
      <c r="J4" s="4">
        <f t="shared" si="6"/>
        <v>2</v>
      </c>
      <c r="K4" s="4">
        <f t="shared" si="6"/>
        <v>4</v>
      </c>
      <c r="L4" s="4">
        <f t="shared" si="6"/>
        <v>1</v>
      </c>
      <c r="M4" s="4">
        <f t="shared" ref="M4:N4" si="7">M13</f>
        <v>3</v>
      </c>
      <c r="N4" s="4">
        <f t="shared" si="7"/>
        <v>2</v>
      </c>
      <c r="O4" s="2">
        <f t="shared" si="4"/>
        <v>30</v>
      </c>
    </row>
    <row r="5" spans="2:15" x14ac:dyDescent="0.15">
      <c r="B5" s="4" t="s">
        <v>24</v>
      </c>
      <c r="C5" s="4">
        <f t="shared" si="5"/>
        <v>0</v>
      </c>
      <c r="D5" s="4">
        <f t="shared" si="5"/>
        <v>1</v>
      </c>
      <c r="E5" s="4">
        <f t="shared" ref="E5:L5" si="8">E14</f>
        <v>2</v>
      </c>
      <c r="F5" s="4">
        <f t="shared" si="8"/>
        <v>0</v>
      </c>
      <c r="G5" s="4">
        <f t="shared" si="8"/>
        <v>0</v>
      </c>
      <c r="H5" s="4">
        <f t="shared" si="8"/>
        <v>0</v>
      </c>
      <c r="I5" s="4">
        <f t="shared" si="8"/>
        <v>1</v>
      </c>
      <c r="J5" s="4">
        <f t="shared" si="8"/>
        <v>1</v>
      </c>
      <c r="K5" s="4">
        <f t="shared" si="8"/>
        <v>1</v>
      </c>
      <c r="L5" s="4">
        <f t="shared" si="8"/>
        <v>0</v>
      </c>
      <c r="M5" s="4">
        <f t="shared" ref="M5:N5" si="9">M14</f>
        <v>0</v>
      </c>
      <c r="N5" s="4">
        <f t="shared" si="9"/>
        <v>1</v>
      </c>
      <c r="O5" s="2">
        <f t="shared" si="4"/>
        <v>7</v>
      </c>
    </row>
    <row r="6" spans="2:15" x14ac:dyDescent="0.15">
      <c r="B6" s="4" t="s">
        <v>22</v>
      </c>
      <c r="C6" s="4">
        <f t="shared" si="5"/>
        <v>47</v>
      </c>
      <c r="D6" s="4">
        <f t="shared" si="5"/>
        <v>48</v>
      </c>
      <c r="E6" s="4">
        <f t="shared" ref="E6:L6" si="10">E15</f>
        <v>30</v>
      </c>
      <c r="F6" s="4">
        <f t="shared" si="10"/>
        <v>24</v>
      </c>
      <c r="G6" s="4">
        <f t="shared" si="10"/>
        <v>24</v>
      </c>
      <c r="H6" s="4">
        <f t="shared" si="10"/>
        <v>20</v>
      </c>
      <c r="I6" s="4">
        <f t="shared" si="10"/>
        <v>13</v>
      </c>
      <c r="J6" s="4">
        <f t="shared" si="10"/>
        <v>14</v>
      </c>
      <c r="K6" s="4">
        <f t="shared" si="10"/>
        <v>26</v>
      </c>
      <c r="L6" s="4">
        <f t="shared" si="10"/>
        <v>13</v>
      </c>
      <c r="M6" s="4">
        <f t="shared" ref="M6:N6" si="11">M15</f>
        <v>20</v>
      </c>
      <c r="N6" s="4">
        <f t="shared" si="11"/>
        <v>17</v>
      </c>
      <c r="O6" s="2">
        <f t="shared" si="4"/>
        <v>296</v>
      </c>
    </row>
    <row r="7" spans="2:15" x14ac:dyDescent="0.15">
      <c r="B7" s="4" t="s">
        <v>0</v>
      </c>
      <c r="C7" s="4">
        <f t="shared" si="5"/>
        <v>38</v>
      </c>
      <c r="D7" s="4">
        <f t="shared" si="5"/>
        <v>12</v>
      </c>
      <c r="E7" s="4">
        <f t="shared" ref="E7:L7" si="12">E16</f>
        <v>1</v>
      </c>
      <c r="F7" s="4">
        <f t="shared" si="12"/>
        <v>6</v>
      </c>
      <c r="G7" s="4">
        <f t="shared" si="12"/>
        <v>6</v>
      </c>
      <c r="H7" s="4">
        <f t="shared" si="12"/>
        <v>8</v>
      </c>
      <c r="I7" s="4">
        <f t="shared" si="12"/>
        <v>4</v>
      </c>
      <c r="J7" s="4">
        <f t="shared" si="12"/>
        <v>1</v>
      </c>
      <c r="K7" s="4">
        <f t="shared" si="12"/>
        <v>0</v>
      </c>
      <c r="L7" s="4">
        <f t="shared" si="12"/>
        <v>0</v>
      </c>
      <c r="M7" s="4">
        <f t="shared" ref="M7:N7" si="13">M16</f>
        <v>0</v>
      </c>
      <c r="N7" s="4">
        <f t="shared" si="13"/>
        <v>1</v>
      </c>
      <c r="O7" s="2">
        <f t="shared" si="4"/>
        <v>77</v>
      </c>
    </row>
    <row r="8" spans="2:15" s="8" customFormat="1" ht="12" customHeight="1" x14ac:dyDescent="0.15">
      <c r="E8" s="9"/>
    </row>
    <row r="9" spans="2:15" ht="21" customHeight="1" x14ac:dyDescent="0.15">
      <c r="B9" s="1" t="s">
        <v>25</v>
      </c>
    </row>
    <row r="10" spans="2:15" ht="21" customHeight="1" x14ac:dyDescent="0.15">
      <c r="B10" s="7"/>
      <c r="C10" s="7" t="s">
        <v>20</v>
      </c>
      <c r="D10" s="7" t="s">
        <v>8</v>
      </c>
      <c r="E10" s="7" t="s">
        <v>10</v>
      </c>
      <c r="F10" s="7" t="s">
        <v>11</v>
      </c>
      <c r="G10" s="7" t="s">
        <v>15</v>
      </c>
      <c r="H10" s="7" t="s">
        <v>9</v>
      </c>
      <c r="I10" s="7" t="s">
        <v>7</v>
      </c>
      <c r="J10" s="7" t="s">
        <v>12</v>
      </c>
      <c r="K10" s="7" t="s">
        <v>6</v>
      </c>
      <c r="L10" s="7" t="s">
        <v>5</v>
      </c>
      <c r="M10" s="7" t="s">
        <v>4</v>
      </c>
      <c r="N10" s="7" t="s">
        <v>21</v>
      </c>
      <c r="O10" s="6" t="s">
        <v>3</v>
      </c>
    </row>
    <row r="11" spans="2:15" ht="21" customHeight="1" x14ac:dyDescent="0.15">
      <c r="B11" s="4" t="s">
        <v>2</v>
      </c>
      <c r="C11" s="4">
        <v>11</v>
      </c>
      <c r="D11" s="4">
        <v>18</v>
      </c>
      <c r="E11" s="4">
        <v>21</v>
      </c>
      <c r="F11" s="4">
        <v>13</v>
      </c>
      <c r="G11" s="4">
        <v>17</v>
      </c>
      <c r="H11" s="4">
        <v>2</v>
      </c>
      <c r="I11" s="4">
        <v>10</v>
      </c>
      <c r="J11" s="4">
        <v>7</v>
      </c>
      <c r="K11" s="4">
        <v>11</v>
      </c>
      <c r="L11" s="4">
        <v>9</v>
      </c>
      <c r="M11" s="3">
        <v>12</v>
      </c>
      <c r="N11" s="11">
        <v>8</v>
      </c>
      <c r="O11" s="2">
        <f t="shared" ref="O11:O16" si="14">SUM(C11:N11)</f>
        <v>139</v>
      </c>
    </row>
    <row r="12" spans="2:15" ht="21" customHeight="1" x14ac:dyDescent="0.15">
      <c r="B12" s="4" t="s">
        <v>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3">
        <v>0</v>
      </c>
      <c r="N12" s="11">
        <v>0</v>
      </c>
      <c r="O12" s="2">
        <f t="shared" si="14"/>
        <v>0</v>
      </c>
    </row>
    <row r="13" spans="2:15" ht="21" customHeight="1" x14ac:dyDescent="0.15">
      <c r="B13" s="4" t="s">
        <v>14</v>
      </c>
      <c r="C13" s="4">
        <v>0</v>
      </c>
      <c r="D13" s="4">
        <v>1</v>
      </c>
      <c r="E13" s="4">
        <v>6</v>
      </c>
      <c r="F13" s="4">
        <v>5</v>
      </c>
      <c r="G13" s="4">
        <v>3</v>
      </c>
      <c r="H13" s="4">
        <v>2</v>
      </c>
      <c r="I13" s="4">
        <v>1</v>
      </c>
      <c r="J13" s="4">
        <v>2</v>
      </c>
      <c r="K13" s="4">
        <v>4</v>
      </c>
      <c r="L13" s="4">
        <v>1</v>
      </c>
      <c r="M13" s="3">
        <v>3</v>
      </c>
      <c r="N13" s="11">
        <v>2</v>
      </c>
      <c r="O13" s="2">
        <f t="shared" si="14"/>
        <v>30</v>
      </c>
    </row>
    <row r="14" spans="2:15" ht="21" customHeight="1" x14ac:dyDescent="0.15">
      <c r="B14" s="4" t="s">
        <v>24</v>
      </c>
      <c r="C14" s="4">
        <v>0</v>
      </c>
      <c r="D14" s="4">
        <v>1</v>
      </c>
      <c r="E14" s="4">
        <v>2</v>
      </c>
      <c r="F14" s="4">
        <v>0</v>
      </c>
      <c r="G14" s="4">
        <v>0</v>
      </c>
      <c r="H14" s="4">
        <v>0</v>
      </c>
      <c r="I14" s="4">
        <v>1</v>
      </c>
      <c r="J14" s="4">
        <v>1</v>
      </c>
      <c r="K14" s="4">
        <v>1</v>
      </c>
      <c r="L14" s="4">
        <v>0</v>
      </c>
      <c r="M14" s="3">
        <v>0</v>
      </c>
      <c r="N14" s="3">
        <v>1</v>
      </c>
      <c r="O14" s="2">
        <f t="shared" si="14"/>
        <v>7</v>
      </c>
    </row>
    <row r="15" spans="2:15" ht="21" customHeight="1" x14ac:dyDescent="0.15">
      <c r="B15" s="4" t="s">
        <v>23</v>
      </c>
      <c r="C15" s="4">
        <v>47</v>
      </c>
      <c r="D15" s="4">
        <v>48</v>
      </c>
      <c r="E15" s="4">
        <v>30</v>
      </c>
      <c r="F15" s="4">
        <v>24</v>
      </c>
      <c r="G15" s="4">
        <v>24</v>
      </c>
      <c r="H15" s="4">
        <v>20</v>
      </c>
      <c r="I15" s="4">
        <v>13</v>
      </c>
      <c r="J15" s="4">
        <v>14</v>
      </c>
      <c r="K15" s="4">
        <v>26</v>
      </c>
      <c r="L15" s="4">
        <v>13</v>
      </c>
      <c r="M15" s="3">
        <v>20</v>
      </c>
      <c r="N15" s="3">
        <v>17</v>
      </c>
      <c r="O15" s="2">
        <f t="shared" si="14"/>
        <v>296</v>
      </c>
    </row>
    <row r="16" spans="2:15" ht="21" customHeight="1" x14ac:dyDescent="0.15">
      <c r="B16" s="4" t="s">
        <v>0</v>
      </c>
      <c r="C16" s="4">
        <v>38</v>
      </c>
      <c r="D16" s="4">
        <v>12</v>
      </c>
      <c r="E16" s="4">
        <v>1</v>
      </c>
      <c r="F16" s="4">
        <v>6</v>
      </c>
      <c r="G16" s="4">
        <v>6</v>
      </c>
      <c r="H16" s="4">
        <v>8</v>
      </c>
      <c r="I16" s="4">
        <v>4</v>
      </c>
      <c r="J16" s="4">
        <v>1</v>
      </c>
      <c r="K16" s="4">
        <v>0</v>
      </c>
      <c r="L16" s="4">
        <v>0</v>
      </c>
      <c r="M16" s="3">
        <v>0</v>
      </c>
      <c r="N16" s="3">
        <v>1</v>
      </c>
      <c r="O16" s="2">
        <f t="shared" si="14"/>
        <v>77</v>
      </c>
    </row>
    <row r="17" spans="2:15" ht="21" customHeight="1" x14ac:dyDescent="0.15">
      <c r="D17" s="10"/>
      <c r="E17" s="10"/>
      <c r="F17" s="10"/>
      <c r="G17" s="10"/>
      <c r="H17" s="10"/>
      <c r="K17" s="10"/>
      <c r="L17" s="10"/>
      <c r="M17" s="10"/>
      <c r="N17" s="10"/>
    </row>
    <row r="18" spans="2:15" ht="21" customHeight="1" x14ac:dyDescent="0.15">
      <c r="B18" s="1" t="s">
        <v>26</v>
      </c>
    </row>
    <row r="19" spans="2:15" ht="21" customHeight="1" x14ac:dyDescent="0.15">
      <c r="B19" s="7"/>
      <c r="C19" s="7" t="s">
        <v>20</v>
      </c>
      <c r="D19" s="7" t="s">
        <v>8</v>
      </c>
      <c r="E19" s="7" t="s">
        <v>10</v>
      </c>
      <c r="F19" s="7" t="s">
        <v>11</v>
      </c>
      <c r="G19" s="7" t="s">
        <v>15</v>
      </c>
      <c r="H19" s="7" t="s">
        <v>9</v>
      </c>
      <c r="I19" s="7" t="s">
        <v>7</v>
      </c>
      <c r="J19" s="7" t="s">
        <v>12</v>
      </c>
      <c r="K19" s="7" t="s">
        <v>6</v>
      </c>
      <c r="L19" s="7" t="s">
        <v>5</v>
      </c>
      <c r="M19" s="7" t="s">
        <v>4</v>
      </c>
      <c r="N19" s="7" t="s">
        <v>21</v>
      </c>
      <c r="O19" s="6" t="s">
        <v>3</v>
      </c>
    </row>
    <row r="20" spans="2:15" ht="21" customHeight="1" x14ac:dyDescent="0.15">
      <c r="B20" s="4" t="s">
        <v>2</v>
      </c>
      <c r="C20" s="4">
        <v>9</v>
      </c>
      <c r="D20" s="4">
        <v>6</v>
      </c>
      <c r="E20" s="4">
        <v>5</v>
      </c>
      <c r="F20" s="4">
        <v>6</v>
      </c>
      <c r="G20" s="4">
        <v>3</v>
      </c>
      <c r="H20" s="4">
        <v>7</v>
      </c>
      <c r="I20" s="4">
        <v>5</v>
      </c>
      <c r="J20" s="4">
        <v>5</v>
      </c>
      <c r="K20" s="4">
        <v>7</v>
      </c>
      <c r="L20" s="4">
        <v>4</v>
      </c>
      <c r="M20" s="3">
        <v>5</v>
      </c>
      <c r="N20" s="11"/>
      <c r="O20" s="2">
        <f t="shared" ref="O20:O24" si="15">SUM(C20:N20)</f>
        <v>62</v>
      </c>
    </row>
    <row r="21" spans="2:15" ht="21" customHeight="1" x14ac:dyDescent="0.15">
      <c r="B21" s="4" t="s">
        <v>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3">
        <v>0</v>
      </c>
      <c r="N21" s="11"/>
      <c r="O21" s="2">
        <f t="shared" si="15"/>
        <v>0</v>
      </c>
    </row>
    <row r="22" spans="2:15" ht="21" customHeight="1" x14ac:dyDescent="0.15">
      <c r="B22" s="4" t="s">
        <v>14</v>
      </c>
      <c r="C22" s="4">
        <v>2</v>
      </c>
      <c r="D22" s="4">
        <v>2</v>
      </c>
      <c r="E22" s="4">
        <v>1</v>
      </c>
      <c r="F22" s="4">
        <v>1</v>
      </c>
      <c r="G22" s="4">
        <v>2</v>
      </c>
      <c r="H22" s="4">
        <v>2</v>
      </c>
      <c r="I22" s="4">
        <v>2</v>
      </c>
      <c r="J22" s="4">
        <v>1</v>
      </c>
      <c r="K22" s="4">
        <v>3</v>
      </c>
      <c r="L22" s="4">
        <v>1</v>
      </c>
      <c r="M22" s="3">
        <v>3</v>
      </c>
      <c r="N22" s="11"/>
      <c r="O22" s="2">
        <f t="shared" si="15"/>
        <v>20</v>
      </c>
    </row>
    <row r="23" spans="2:15" ht="21" customHeight="1" x14ac:dyDescent="0.15">
      <c r="B23" s="4" t="s">
        <v>24</v>
      </c>
      <c r="C23" s="4">
        <v>1</v>
      </c>
      <c r="D23" s="4">
        <v>0</v>
      </c>
      <c r="E23" s="4">
        <v>0</v>
      </c>
      <c r="F23" s="4">
        <v>0</v>
      </c>
      <c r="G23" s="4">
        <v>5</v>
      </c>
      <c r="H23" s="4">
        <v>0</v>
      </c>
      <c r="I23" s="4">
        <v>0</v>
      </c>
      <c r="J23" s="4">
        <v>1</v>
      </c>
      <c r="K23" s="4">
        <v>0</v>
      </c>
      <c r="L23" s="4">
        <v>0</v>
      </c>
      <c r="M23" s="3">
        <v>0</v>
      </c>
      <c r="N23" s="3"/>
      <c r="O23" s="2">
        <f t="shared" si="15"/>
        <v>7</v>
      </c>
    </row>
    <row r="24" spans="2:15" ht="21" customHeight="1" x14ac:dyDescent="0.15">
      <c r="B24" s="4" t="s">
        <v>23</v>
      </c>
      <c r="C24" s="4">
        <v>12</v>
      </c>
      <c r="D24" s="4">
        <v>13</v>
      </c>
      <c r="E24" s="4">
        <v>12</v>
      </c>
      <c r="F24" s="4">
        <v>9</v>
      </c>
      <c r="G24" s="4">
        <v>16</v>
      </c>
      <c r="H24" s="4">
        <v>23</v>
      </c>
      <c r="I24" s="4">
        <v>14</v>
      </c>
      <c r="J24" s="4">
        <v>14</v>
      </c>
      <c r="K24" s="4">
        <v>15</v>
      </c>
      <c r="L24" s="4">
        <v>10</v>
      </c>
      <c r="M24" s="3">
        <v>7</v>
      </c>
      <c r="N24" s="3"/>
      <c r="O24" s="2">
        <f t="shared" si="15"/>
        <v>145</v>
      </c>
    </row>
    <row r="25" spans="2:15" ht="21" customHeight="1" x14ac:dyDescent="0.15">
      <c r="B25" s="4" t="s">
        <v>0</v>
      </c>
      <c r="C25" s="4">
        <v>0</v>
      </c>
      <c r="D25" s="4">
        <v>2</v>
      </c>
      <c r="E25" s="4">
        <v>3</v>
      </c>
      <c r="F25" s="4">
        <v>1</v>
      </c>
      <c r="G25" s="4">
        <v>7</v>
      </c>
      <c r="H25" s="4">
        <v>0</v>
      </c>
      <c r="I25" s="4">
        <v>2</v>
      </c>
      <c r="J25" s="4">
        <v>0</v>
      </c>
      <c r="K25" s="4">
        <v>0</v>
      </c>
      <c r="L25" s="4">
        <v>0</v>
      </c>
      <c r="M25" s="3">
        <v>0</v>
      </c>
      <c r="N25" s="3"/>
      <c r="O25" s="2">
        <f>SUM(C25:N25)+O16</f>
        <v>92</v>
      </c>
    </row>
    <row r="26" spans="2:15" ht="21" customHeight="1" x14ac:dyDescent="0.15">
      <c r="D26" s="10"/>
      <c r="E26" s="10"/>
      <c r="F26" s="10"/>
      <c r="G26" s="10"/>
      <c r="H26" s="10"/>
      <c r="K26" s="10"/>
      <c r="L26" s="10"/>
      <c r="M26" s="10" t="s">
        <v>27</v>
      </c>
      <c r="N26" s="10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
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5"/>
  <sheetViews>
    <sheetView topLeftCell="A4" zoomScaleNormal="100" workbookViewId="0">
      <selection activeCell="P31" sqref="P31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s="5" customFormat="1" x14ac:dyDescent="0.15">
      <c r="B1" s="7"/>
      <c r="C1" s="7" t="s">
        <v>17</v>
      </c>
      <c r="D1" s="7" t="s">
        <v>19</v>
      </c>
      <c r="E1" s="7" t="s">
        <v>10</v>
      </c>
      <c r="F1" s="7" t="s">
        <v>11</v>
      </c>
      <c r="G1" s="7" t="s">
        <v>15</v>
      </c>
      <c r="H1" s="7" t="s">
        <v>9</v>
      </c>
      <c r="I1" s="7" t="s">
        <v>7</v>
      </c>
      <c r="J1" s="7" t="s">
        <v>13</v>
      </c>
      <c r="K1" s="7" t="s">
        <v>6</v>
      </c>
      <c r="L1" s="7" t="s">
        <v>5</v>
      </c>
      <c r="M1" s="7" t="s">
        <v>4</v>
      </c>
      <c r="N1" s="7" t="s">
        <v>21</v>
      </c>
      <c r="O1" s="6" t="s">
        <v>3</v>
      </c>
    </row>
    <row r="2" spans="2:15" x14ac:dyDescent="0.15">
      <c r="B2" s="4" t="s">
        <v>2</v>
      </c>
      <c r="C2" s="4">
        <f>C9</f>
        <v>11</v>
      </c>
      <c r="D2" s="4">
        <f t="shared" ref="D2:N2" si="0">D9</f>
        <v>0</v>
      </c>
      <c r="E2" s="4">
        <f t="shared" si="0"/>
        <v>0</v>
      </c>
      <c r="F2" s="4">
        <f t="shared" si="0"/>
        <v>0</v>
      </c>
      <c r="G2" s="4">
        <f t="shared" si="0"/>
        <v>0</v>
      </c>
      <c r="H2" s="4">
        <f t="shared" si="0"/>
        <v>0</v>
      </c>
      <c r="I2" s="4">
        <f t="shared" si="0"/>
        <v>0</v>
      </c>
      <c r="J2" s="4">
        <f t="shared" si="0"/>
        <v>0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2">
        <f>SUM(C2:N2)</f>
        <v>11</v>
      </c>
    </row>
    <row r="3" spans="2:15" x14ac:dyDescent="0.15">
      <c r="B3" s="4" t="s">
        <v>1</v>
      </c>
      <c r="C3" s="4">
        <f t="shared" ref="C3:N3" si="1">C10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2">
        <f t="shared" ref="O3:O5" si="2">SUM(C3:N3)</f>
        <v>0</v>
      </c>
    </row>
    <row r="4" spans="2:15" x14ac:dyDescent="0.15">
      <c r="B4" s="4" t="s">
        <v>22</v>
      </c>
      <c r="C4" s="4">
        <f t="shared" ref="C4:N5" si="3">C12</f>
        <v>47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  <c r="O4" s="2">
        <f t="shared" si="2"/>
        <v>47</v>
      </c>
    </row>
    <row r="5" spans="2:15" x14ac:dyDescent="0.15">
      <c r="B5" s="4" t="s">
        <v>0</v>
      </c>
      <c r="C5" s="4">
        <f t="shared" si="3"/>
        <v>38</v>
      </c>
      <c r="D5" s="4">
        <f t="shared" si="3"/>
        <v>0</v>
      </c>
      <c r="E5" s="4">
        <f t="shared" si="3"/>
        <v>0</v>
      </c>
      <c r="F5" s="4">
        <f t="shared" si="3"/>
        <v>0</v>
      </c>
      <c r="G5" s="4">
        <f t="shared" si="3"/>
        <v>0</v>
      </c>
      <c r="H5" s="4">
        <f t="shared" si="3"/>
        <v>0</v>
      </c>
      <c r="I5" s="4">
        <f t="shared" si="3"/>
        <v>0</v>
      </c>
      <c r="J5" s="4">
        <f t="shared" si="3"/>
        <v>0</v>
      </c>
      <c r="K5" s="4">
        <f t="shared" si="3"/>
        <v>0</v>
      </c>
      <c r="L5" s="4">
        <f t="shared" si="3"/>
        <v>0</v>
      </c>
      <c r="M5" s="4">
        <f t="shared" si="3"/>
        <v>0</v>
      </c>
      <c r="N5" s="4">
        <f t="shared" si="3"/>
        <v>0</v>
      </c>
      <c r="O5" s="2">
        <f t="shared" si="2"/>
        <v>38</v>
      </c>
    </row>
    <row r="6" spans="2:15" s="8" customFormat="1" ht="12" customHeight="1" x14ac:dyDescent="0.15">
      <c r="E6" s="9"/>
    </row>
    <row r="7" spans="2:15" x14ac:dyDescent="0.15">
      <c r="B7" s="1" t="s">
        <v>18</v>
      </c>
    </row>
    <row r="8" spans="2:15" x14ac:dyDescent="0.15">
      <c r="B8" s="7"/>
      <c r="C8" s="7" t="s">
        <v>20</v>
      </c>
      <c r="D8" s="7" t="s">
        <v>8</v>
      </c>
      <c r="E8" s="7" t="s">
        <v>10</v>
      </c>
      <c r="F8" s="7" t="s">
        <v>11</v>
      </c>
      <c r="G8" s="7" t="s">
        <v>15</v>
      </c>
      <c r="H8" s="7" t="s">
        <v>9</v>
      </c>
      <c r="I8" s="7" t="s">
        <v>7</v>
      </c>
      <c r="J8" s="7" t="s">
        <v>12</v>
      </c>
      <c r="K8" s="7" t="s">
        <v>6</v>
      </c>
      <c r="L8" s="7" t="s">
        <v>5</v>
      </c>
      <c r="M8" s="7" t="s">
        <v>4</v>
      </c>
      <c r="N8" s="7" t="s">
        <v>21</v>
      </c>
      <c r="O8" s="6" t="s">
        <v>3</v>
      </c>
    </row>
    <row r="9" spans="2:15" x14ac:dyDescent="0.15">
      <c r="B9" s="4" t="s">
        <v>2</v>
      </c>
      <c r="C9" s="4">
        <v>11</v>
      </c>
      <c r="D9" s="4"/>
      <c r="E9" s="4"/>
      <c r="F9" s="4"/>
      <c r="G9" s="4"/>
      <c r="H9" s="4"/>
      <c r="I9" s="4"/>
      <c r="J9" s="4"/>
      <c r="K9" s="4"/>
      <c r="L9" s="4"/>
      <c r="M9" s="3"/>
      <c r="N9" s="11"/>
      <c r="O9" s="2">
        <f>SUM(C9:N9)</f>
        <v>11</v>
      </c>
    </row>
    <row r="10" spans="2:15" x14ac:dyDescent="0.15">
      <c r="B10" s="4" t="s">
        <v>1</v>
      </c>
      <c r="C10" s="4">
        <v>0</v>
      </c>
      <c r="D10" s="4"/>
      <c r="E10" s="4"/>
      <c r="F10" s="4"/>
      <c r="G10" s="4"/>
      <c r="H10" s="4"/>
      <c r="I10" s="4"/>
      <c r="J10" s="4"/>
      <c r="K10" s="4"/>
      <c r="L10" s="4"/>
      <c r="M10" s="3"/>
      <c r="N10" s="11"/>
      <c r="O10" s="2">
        <f>SUM(C10:N10)</f>
        <v>0</v>
      </c>
    </row>
    <row r="11" spans="2:15" x14ac:dyDescent="0.15">
      <c r="B11" s="4" t="s">
        <v>14</v>
      </c>
      <c r="C11" s="4">
        <v>0</v>
      </c>
      <c r="D11" s="4"/>
      <c r="E11" s="4"/>
      <c r="F11" s="4"/>
      <c r="G11" s="4"/>
      <c r="H11" s="4"/>
      <c r="I11" s="4"/>
      <c r="J11" s="4"/>
      <c r="K11" s="4"/>
      <c r="L11" s="4"/>
      <c r="M11" s="3"/>
      <c r="N11" s="11"/>
      <c r="O11" s="2">
        <f>SUM(C11:N11)</f>
        <v>0</v>
      </c>
    </row>
    <row r="12" spans="2:15" x14ac:dyDescent="0.15">
      <c r="B12" s="4" t="s">
        <v>23</v>
      </c>
      <c r="C12" s="4">
        <v>47</v>
      </c>
      <c r="D12" s="4"/>
      <c r="E12" s="4"/>
      <c r="F12" s="4"/>
      <c r="G12" s="4"/>
      <c r="H12" s="4"/>
      <c r="I12" s="4"/>
      <c r="J12" s="4"/>
      <c r="K12" s="4"/>
      <c r="L12" s="4"/>
      <c r="M12" s="3"/>
      <c r="N12" s="3"/>
      <c r="O12" s="2">
        <f>SUM(C12:N12)</f>
        <v>47</v>
      </c>
    </row>
    <row r="13" spans="2:15" x14ac:dyDescent="0.15">
      <c r="B13" s="4" t="s">
        <v>0</v>
      </c>
      <c r="C13" s="4">
        <v>38</v>
      </c>
      <c r="D13" s="4"/>
      <c r="E13" s="4"/>
      <c r="F13" s="4"/>
      <c r="G13" s="4"/>
      <c r="H13" s="4"/>
      <c r="I13" s="4"/>
      <c r="J13" s="4"/>
      <c r="K13" s="4"/>
      <c r="L13" s="4"/>
      <c r="M13" s="3"/>
      <c r="N13" s="3"/>
      <c r="O13" s="2">
        <f>SUM(C13:N13)</f>
        <v>38</v>
      </c>
    </row>
    <row r="14" spans="2:15" x14ac:dyDescent="0.15">
      <c r="C14" s="10" t="s">
        <v>16</v>
      </c>
      <c r="E14" s="10"/>
      <c r="F14" s="10"/>
      <c r="G14" s="10"/>
      <c r="H14" s="10"/>
      <c r="K14" s="10"/>
      <c r="L14" s="10"/>
      <c r="M14" s="10"/>
      <c r="N14" s="10"/>
    </row>
    <row r="15" spans="2:15" ht="4.5" customHeight="1" x14ac:dyDescent="0.15"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44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Dahlia</vt:lpstr>
      <vt:lpstr>Dahlia (2)</vt:lpstr>
      <vt:lpstr>Dahlia!Print_Area</vt:lpstr>
      <vt:lpstr>'Dahlia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2025-06-26T05:11:33Z</cp:lastPrinted>
  <dcterms:created xsi:type="dcterms:W3CDTF">2018-10-31T01:38:43Z</dcterms:created>
  <dcterms:modified xsi:type="dcterms:W3CDTF">2026-04-27T01:46:47Z</dcterms:modified>
</cp:coreProperties>
</file>