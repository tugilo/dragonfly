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發巳" sheetId="1" r:id="rId1"/>
    <sheet name="發巳 (2)" sheetId="2" r:id="rId2"/>
  </sheets>
  <definedNames>
    <definedName name="_xlnm.Print_Area" localSheetId="0">發巳!$A$37:$P$54</definedName>
    <definedName name="_xlnm.Print_Area" localSheetId="1">'發巳 (2)'!$A$21:$P$73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" l="1"/>
  <c r="O52" i="1"/>
  <c r="O51" i="1"/>
  <c r="O50" i="1"/>
  <c r="O49" i="1"/>
  <c r="O48" i="1"/>
  <c r="O44" i="1" l="1"/>
  <c r="O43" i="1"/>
  <c r="O42" i="1"/>
  <c r="O41" i="1"/>
  <c r="O40" i="1"/>
  <c r="O39" i="1"/>
  <c r="O31" i="1" l="1"/>
  <c r="O32" i="1"/>
  <c r="O33" i="1"/>
  <c r="O34" i="1"/>
  <c r="O30" i="1"/>
  <c r="O24" i="1"/>
  <c r="O25" i="1"/>
  <c r="O23" i="1"/>
  <c r="O32" i="2"/>
  <c r="O12" i="2"/>
  <c r="O19" i="2" s="1"/>
  <c r="O26" i="2" s="1"/>
  <c r="O34" i="2" s="1"/>
  <c r="O11" i="2"/>
  <c r="O18" i="2" s="1"/>
  <c r="O25" i="2" s="1"/>
  <c r="O33" i="2" s="1"/>
  <c r="O10" i="2"/>
  <c r="O17" i="2" s="1"/>
  <c r="O24" i="2" s="1"/>
  <c r="O31" i="2" s="1"/>
  <c r="O9" i="2"/>
  <c r="O16" i="2" s="1"/>
  <c r="O23" i="2" s="1"/>
  <c r="O30" i="2" s="1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Y5" i="2" s="1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Y4" i="2" s="1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Y3" i="2" s="1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Y2" i="2" s="1"/>
  <c r="AN2" i="1" l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AM3" i="1"/>
  <c r="AM4" i="1"/>
  <c r="AM5" i="1"/>
  <c r="AM2" i="1"/>
  <c r="AB2" i="1"/>
  <c r="AC2" i="1"/>
  <c r="AD2" i="1"/>
  <c r="AE2" i="1"/>
  <c r="AF2" i="1"/>
  <c r="AG2" i="1"/>
  <c r="AH2" i="1"/>
  <c r="AI2" i="1"/>
  <c r="AJ2" i="1"/>
  <c r="AK2" i="1"/>
  <c r="AL2" i="1"/>
  <c r="AB3" i="1"/>
  <c r="AC3" i="1"/>
  <c r="AD3" i="1"/>
  <c r="AE3" i="1"/>
  <c r="AF3" i="1"/>
  <c r="AG3" i="1"/>
  <c r="AH3" i="1"/>
  <c r="AI3" i="1"/>
  <c r="AJ3" i="1"/>
  <c r="AK3" i="1"/>
  <c r="AL3" i="1"/>
  <c r="AB4" i="1"/>
  <c r="AC4" i="1"/>
  <c r="AD4" i="1"/>
  <c r="AE4" i="1"/>
  <c r="AF4" i="1"/>
  <c r="AG4" i="1"/>
  <c r="AH4" i="1"/>
  <c r="AI4" i="1"/>
  <c r="AJ4" i="1"/>
  <c r="AK4" i="1"/>
  <c r="AL4" i="1"/>
  <c r="AB5" i="1"/>
  <c r="AC5" i="1"/>
  <c r="AD5" i="1"/>
  <c r="AE5" i="1"/>
  <c r="AF5" i="1"/>
  <c r="AG5" i="1"/>
  <c r="AH5" i="1"/>
  <c r="AI5" i="1"/>
  <c r="AJ5" i="1"/>
  <c r="AK5" i="1"/>
  <c r="AL5" i="1"/>
  <c r="AA3" i="1"/>
  <c r="AA4" i="1"/>
  <c r="AA5" i="1"/>
  <c r="AA2" i="1"/>
  <c r="U2" i="1"/>
  <c r="V2" i="1"/>
  <c r="W2" i="1"/>
  <c r="X2" i="1"/>
  <c r="Y2" i="1"/>
  <c r="Z2" i="1"/>
  <c r="U3" i="1"/>
  <c r="V3" i="1"/>
  <c r="W3" i="1"/>
  <c r="X3" i="1"/>
  <c r="Y3" i="1"/>
  <c r="Z3" i="1"/>
  <c r="U4" i="1"/>
  <c r="V4" i="1"/>
  <c r="W4" i="1"/>
  <c r="X4" i="1"/>
  <c r="Y4" i="1"/>
  <c r="Z4" i="1"/>
  <c r="U5" i="1"/>
  <c r="V5" i="1"/>
  <c r="W5" i="1"/>
  <c r="X5" i="1"/>
  <c r="Y5" i="1"/>
  <c r="Z5" i="1"/>
  <c r="P2" i="1"/>
  <c r="Q2" i="1"/>
  <c r="R2" i="1"/>
  <c r="S2" i="1"/>
  <c r="T2" i="1"/>
  <c r="P3" i="1"/>
  <c r="Q3" i="1"/>
  <c r="R3" i="1"/>
  <c r="S3" i="1"/>
  <c r="T3" i="1"/>
  <c r="P4" i="1"/>
  <c r="Q4" i="1"/>
  <c r="R4" i="1"/>
  <c r="S4" i="1"/>
  <c r="T4" i="1"/>
  <c r="P5" i="1"/>
  <c r="Q5" i="1"/>
  <c r="R5" i="1"/>
  <c r="S5" i="1"/>
  <c r="T5" i="1"/>
  <c r="O3" i="1"/>
  <c r="O4" i="1"/>
  <c r="O5" i="1"/>
  <c r="O2" i="1"/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D4" i="1"/>
  <c r="E4" i="1"/>
  <c r="F4" i="1"/>
  <c r="G4" i="1"/>
  <c r="H4" i="1"/>
  <c r="I4" i="1"/>
  <c r="J4" i="1"/>
  <c r="K4" i="1"/>
  <c r="L4" i="1"/>
  <c r="M4" i="1"/>
  <c r="N4" i="1"/>
  <c r="D5" i="1"/>
  <c r="E5" i="1"/>
  <c r="F5" i="1"/>
  <c r="G5" i="1"/>
  <c r="H5" i="1"/>
  <c r="I5" i="1"/>
  <c r="J5" i="1"/>
  <c r="K5" i="1"/>
  <c r="L5" i="1"/>
  <c r="M5" i="1"/>
  <c r="N5" i="1"/>
  <c r="C3" i="1"/>
  <c r="C4" i="1"/>
  <c r="C5" i="1"/>
  <c r="C2" i="1"/>
  <c r="O12" i="1"/>
  <c r="O19" i="1" s="1"/>
  <c r="O26" i="1" s="1"/>
  <c r="O35" i="1" s="1"/>
  <c r="O11" i="1"/>
  <c r="O18" i="1" s="1"/>
  <c r="O10" i="1"/>
  <c r="O17" i="1" s="1"/>
  <c r="O9" i="1"/>
  <c r="O16" i="1" s="1"/>
  <c r="AY2" i="1" l="1"/>
  <c r="AY3" i="1"/>
  <c r="AY5" i="1"/>
  <c r="AY4" i="1"/>
</calcChain>
</file>

<file path=xl/sharedStrings.xml><?xml version="1.0" encoding="utf-8"?>
<sst xmlns="http://schemas.openxmlformats.org/spreadsheetml/2006/main" count="295" uniqueCount="32">
  <si>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</si>
  <si>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</si>
  <si>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</si>
  <si>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</si>
  <si>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</si>
  <si>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</si>
  <si>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</si>
  <si>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</si>
  <si>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</si>
  <si>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5月</t>
  </si>
  <si>
    <t>6月</t>
  </si>
  <si>
    <t>7月</t>
  </si>
  <si>
    <t>10月</t>
  </si>
  <si>
    <t>11月</t>
  </si>
  <si>
    <t>1月</t>
  </si>
  <si>
    <t>8月</t>
  </si>
  <si>
    <t>9月</t>
  </si>
  <si>
    <t>2020年10月～2021年9月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</si>
  <si>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2021年10月～2022年9月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</si>
  <si>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2022/1月</t>
    <phoneticPr fontId="2"/>
  </si>
  <si>
    <t>2021/1月</t>
    <phoneticPr fontId="2"/>
  </si>
  <si>
    <t>2020/10月</t>
    <phoneticPr fontId="2"/>
  </si>
  <si>
    <t>2023/1月</t>
    <phoneticPr fontId="2"/>
  </si>
  <si>
    <t>2022年10月～2023年9月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</si>
  <si>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2023年10月～2024年9月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</si>
  <si>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2024/1月</t>
    <phoneticPr fontId="2"/>
  </si>
  <si>
    <t>スタンプクーポン</t>
    <phoneticPr fontId="2"/>
  </si>
  <si>
    <t>5/26～6/25</t>
    <phoneticPr fontId="2"/>
  </si>
  <si>
    <t>閲覧数</t>
    <rPh sb="0" eb="3">
      <t>エツランスウ</t>
    </rPh>
    <phoneticPr fontId="2"/>
  </si>
  <si>
    <t>2024年10月～2025年9月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</si>
  <si>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2025年10月～2026年9月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</si>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</sst>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8" fontId="1" fillId="0" borderId="3" xfId="1" applyFont="1" applyBorder="1" applyAlignment="1">
      <alignment horizontal="center" vertical="center"/>
    </xf>
    <xf numFmtId="38" fontId="1" fillId="0" borderId="2" xfId="1" applyFont="1" applyBorder="1" applyAlignment="1">
      <alignment horizontal="center" vertical="center"/>
    </xf>
    <xf numFmtId="38" fontId="1" fillId="0" borderId="1" xfId="1" applyFont="1" applyBorder="1" applyAlignment="1">
      <alignment horizontal="center" vertical="center"/>
    </xf>
    <xf numFmtId="38" fontId="1" fillId="0" borderId="0" xfId="1" applyFont="1" applyAlignment="1">
      <alignment horizontal="center" vertical="center"/>
    </xf>
    <xf numFmtId="38" fontId="1" fillId="0" borderId="3" xfId="1" applyFont="1" applyBorder="1">
      <alignment vertical="center"/>
    </xf>
    <xf numFmtId="38" fontId="1" fillId="0" borderId="4" xfId="1" applyFont="1" applyBorder="1">
      <alignment vertical="center"/>
    </xf>
    <xf numFmtId="38" fontId="1" fillId="0" borderId="1" xfId="1" applyFont="1" applyBorder="1">
      <alignment vertical="center"/>
    </xf>
    <xf numFmtId="38" fontId="1" fillId="0" borderId="0" xfId="1" applyFont="1">
      <alignment vertical="center"/>
    </xf>
    <xf numFmtId="38" fontId="1" fillId="0" borderId="0" xfId="1" applyFont="1" applyAlignment="1">
      <alignment horizontal="center" vertical="center" shrinkToFit="1"/>
    </xf>
    <xf numFmtId="38" fontId="3" fillId="0" borderId="0" xfId="1" applyFont="1" applyAlignment="1">
      <alignment horizontal="center" vertical="center" shrinkToFit="1"/>
    </xf>
    <xf numFmtId="38" fontId="1" fillId="0" borderId="2" xfId="1" applyFont="1" applyBorder="1">
      <alignment vertical="center"/>
    </xf>
    <xf numFmtId="38" fontId="3" fillId="0" borderId="0" xfId="1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'發巳 (2)'!$B$21</c:f>
              <c:strCache>
                <c:ptCount val="1"/>
                <c:pt idx="0">
                  <c:v>2022年10月～2023年9月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'發巳 (2)'!$C$29:$N$29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'發巳 (2)'!$C$23:$N$23</c:f>
              <c:numCache>
                <c:formatCode>#,##0_);[Red]\(#,##0\)</c:formatCode>
                <c:ptCount val="12"/>
                <c:pt idx="0">
                  <c:v>98</c:v>
                </c:pt>
                <c:pt idx="1">
                  <c:v>123</c:v>
                </c:pt>
                <c:pt idx="2">
                  <c:v>131</c:v>
                </c:pt>
                <c:pt idx="3">
                  <c:v>139</c:v>
                </c:pt>
                <c:pt idx="4">
                  <c:v>145</c:v>
                </c:pt>
                <c:pt idx="5">
                  <c:v>116</c:v>
                </c:pt>
                <c:pt idx="6">
                  <c:v>120</c:v>
                </c:pt>
                <c:pt idx="7">
                  <c:v>141</c:v>
                </c:pt>
                <c:pt idx="8">
                  <c:v>121</c:v>
                </c:pt>
                <c:pt idx="9">
                  <c:v>134</c:v>
                </c:pt>
                <c:pt idx="10">
                  <c:v>117</c:v>
                </c:pt>
                <c:pt idx="11">
                  <c:v>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F89-4CA6-913C-388B7C96FB0A}"/>
            </c:ext>
          </c:extLst>
        </c:ser>
        <c:ser>
          <c:idx val="0"/>
          <c:order val="1"/>
          <c:tx>
            <c:strRef>
              <c:f>'發巳 (2)'!$B$28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'發巳 (2)'!$C$29:$N$29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'發巳 (2)'!$C$30:$N$30</c:f>
              <c:numCache>
                <c:formatCode>#,##0_);[Red]\(#,##0\)</c:formatCode>
                <c:ptCount val="12"/>
                <c:pt idx="0">
                  <c:v>72</c:v>
                </c:pt>
                <c:pt idx="1">
                  <c:v>65</c:v>
                </c:pt>
                <c:pt idx="2">
                  <c:v>57</c:v>
                </c:pt>
                <c:pt idx="3">
                  <c:v>59</c:v>
                </c:pt>
                <c:pt idx="4">
                  <c:v>71</c:v>
                </c:pt>
                <c:pt idx="5">
                  <c:v>31</c:v>
                </c:pt>
                <c:pt idx="6">
                  <c:v>48</c:v>
                </c:pt>
                <c:pt idx="7">
                  <c:v>55</c:v>
                </c:pt>
                <c:pt idx="8">
                  <c:v>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F89-4CA6-913C-388B7C96F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321992"/>
        <c:axId val="506319640"/>
        <c:extLst xmlns:c16r2="http://schemas.microsoft.com/office/drawing/2015/06/chart"/>
      </c:barChart>
      <c:catAx>
        <c:axId val="50632199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6319640"/>
        <c:crosses val="autoZero"/>
        <c:auto val="1"/>
        <c:lblAlgn val="ctr"/>
        <c:lblOffset val="100"/>
        <c:noMultiLvlLbl val="0"/>
      </c:catAx>
      <c:valAx>
        <c:axId val="50631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632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29187629613185"/>
          <c:y val="5.5843066689429392E-2"/>
          <c:w val="0.25468459354129946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'發巳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'發巳 (2)'!$AB$1:$AX$1</c15:sqref>
                  </c15:fullRef>
                </c:ext>
              </c:extLst>
              <c:f>'發巳 (2)'!$AB$1:$AV$1</c:f>
              <c:strCache>
                <c:ptCount val="21"/>
                <c:pt idx="0">
                  <c:v>11月</c:v>
                </c:pt>
                <c:pt idx="1">
                  <c:v>12月</c:v>
                </c:pt>
                <c:pt idx="2">
                  <c:v>2023/1月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  <c:pt idx="7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1">
                  <c:v>10月</c:v>
                </c:pt>
                <c:pt idx="12">
                  <c:v>11月</c:v>
                </c:pt>
                <c:pt idx="13">
                  <c:v>12月</c:v>
                </c:pt>
                <c:pt idx="14">
                  <c:v>2024/1月</c:v>
                </c:pt>
                <c:pt idx="15">
                  <c:v>2月</c:v>
                </c:pt>
                <c:pt idx="16">
                  <c:v>3月</c:v>
                </c:pt>
                <c:pt idx="17">
                  <c:v>4月</c:v>
                </c:pt>
                <c:pt idx="18">
                  <c:v>5月</c:v>
                </c:pt>
                <c:pt idx="19">
                  <c:v>6月</c:v>
                </c:pt>
                <c:pt idx="20">
                  <c:v>7月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'發巳 (2)'!$AB$5:$AX$5</c15:sqref>
                  </c15:fullRef>
                </c:ext>
              </c:extLst>
              <c:f>'發巳 (2)'!$AB$5:$AV$5</c:f>
              <c:numCache>
                <c:formatCode>#,##0_);[Red]\(#,##0\)</c:formatCode>
                <c:ptCount val="21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47</c:v>
                </c:pt>
                <c:pt idx="5">
                  <c:v>47</c:v>
                </c:pt>
                <c:pt idx="6">
                  <c:v>70</c:v>
                </c:pt>
                <c:pt idx="7">
                  <c:v>41</c:v>
                </c:pt>
                <c:pt idx="8">
                  <c:v>74</c:v>
                </c:pt>
                <c:pt idx="9">
                  <c:v>52</c:v>
                </c:pt>
                <c:pt idx="10">
                  <c:v>19</c:v>
                </c:pt>
                <c:pt idx="11">
                  <c:v>13</c:v>
                </c:pt>
                <c:pt idx="12">
                  <c:v>18</c:v>
                </c:pt>
                <c:pt idx="13">
                  <c:v>7</c:v>
                </c:pt>
                <c:pt idx="14">
                  <c:v>21</c:v>
                </c:pt>
                <c:pt idx="15">
                  <c:v>20</c:v>
                </c:pt>
                <c:pt idx="16">
                  <c:v>21</c:v>
                </c:pt>
                <c:pt idx="17">
                  <c:v>17</c:v>
                </c:pt>
                <c:pt idx="18">
                  <c:v>14</c:v>
                </c:pt>
                <c:pt idx="19">
                  <c:v>27</c:v>
                </c:pt>
                <c:pt idx="2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625-43C0-8C75-AAC66E310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323168"/>
        <c:axId val="506320032"/>
        <c:extLst xmlns:c16r2="http://schemas.microsoft.com/office/drawing/2015/06/chart"/>
      </c:barChart>
      <c:catAx>
        <c:axId val="50632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6320032"/>
        <c:crosses val="autoZero"/>
        <c:auto val="1"/>
        <c:lblAlgn val="ctr"/>
        <c:lblOffset val="100"/>
        <c:noMultiLvlLbl val="0"/>
      </c:catAx>
      <c:valAx>
        <c:axId val="50632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632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'發巳 (2)'!$B$21</c:f>
              <c:strCache>
                <c:ptCount val="1"/>
                <c:pt idx="0">
                  <c:v>2022年10月～2023年9月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'發巳 (2)'!$C$22:$N$22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'發巳 (2)'!$C$24:$N$24</c:f>
              <c:numCache>
                <c:formatCode>#,##0_);[Red]\(#,##0\)</c:formatCode>
                <c:ptCount val="12"/>
                <c:pt idx="0">
                  <c:v>12</c:v>
                </c:pt>
                <c:pt idx="1">
                  <c:v>23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29</c:v>
                </c:pt>
                <c:pt idx="6">
                  <c:v>12</c:v>
                </c:pt>
                <c:pt idx="7">
                  <c:v>25</c:v>
                </c:pt>
                <c:pt idx="8">
                  <c:v>25</c:v>
                </c:pt>
                <c:pt idx="9">
                  <c:v>21</c:v>
                </c:pt>
                <c:pt idx="10">
                  <c:v>15</c:v>
                </c:pt>
                <c:pt idx="11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30-4D32-9005-1B8B9077C785}"/>
            </c:ext>
          </c:extLst>
        </c:ser>
        <c:ser>
          <c:idx val="0"/>
          <c:order val="1"/>
          <c:tx>
            <c:strRef>
              <c:f>'發巳 (2)'!$B$28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'發巳 (2)'!$C$22:$N$22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'發巳 (2)'!$C$31:$N$31</c:f>
              <c:numCache>
                <c:formatCode>#,##0_);[Red]\(#,##0\)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330-4D32-9005-1B8B9077C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964472"/>
        <c:axId val="505961728"/>
        <c:extLst xmlns:c16r2="http://schemas.microsoft.com/office/drawing/2015/06/chart"/>
      </c:barChart>
      <c:catAx>
        <c:axId val="50596447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5961728"/>
        <c:crosses val="autoZero"/>
        <c:auto val="1"/>
        <c:lblAlgn val="ctr"/>
        <c:lblOffset val="100"/>
        <c:noMultiLvlLbl val="0"/>
      </c:catAx>
      <c:valAx>
        <c:axId val="50596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596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113071738608853"/>
          <c:y val="5.5843066689429392E-2"/>
          <c:w val="0.25812913967471524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'發巳 (2)'!$B$28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'發巳 (2)'!$C$29:$N$29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'發巳 (2)'!$C$32:$N$32</c:f>
              <c:numCache>
                <c:formatCode>#,##0_);[Red]\(#,##0\)</c:formatCode>
                <c:ptCount val="12"/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D6-46D7-BE27-B22E22241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961336"/>
        <c:axId val="50596212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'發巳 (2)'!$B$21</c15:sqref>
                        </c15:formulaRef>
                      </c:ext>
                    </c:extLst>
                    <c:strCache>
                      <c:ptCount val="1"/>
                      <c:pt idx="0">
                        <c:v>2022年10月～2023年9月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'發巳 (2)'!$C$29:$N$29</c15:sqref>
                        </c15:formulaRef>
                      </c:ext>
                    </c:extLst>
                    <c:strCache>
                      <c:ptCount val="12"/>
                      <c:pt idx="0">
                        <c:v>10月</c:v>
                      </c:pt>
                      <c:pt idx="1">
                        <c:v>11月</c:v>
                      </c:pt>
                      <c:pt idx="2">
                        <c:v>12月</c:v>
                      </c:pt>
                      <c:pt idx="3">
                        <c:v>1月</c:v>
                      </c:pt>
                      <c:pt idx="4">
                        <c:v>2月</c:v>
                      </c:pt>
                      <c:pt idx="5">
                        <c:v>3月</c:v>
                      </c:pt>
                      <c:pt idx="6">
                        <c:v>4月</c:v>
                      </c:pt>
                      <c:pt idx="7">
                        <c:v>5月</c:v>
                      </c:pt>
                      <c:pt idx="8">
                        <c:v>6月</c:v>
                      </c:pt>
                      <c:pt idx="9">
                        <c:v>7月</c:v>
                      </c:pt>
                      <c:pt idx="10">
                        <c:v>8月</c:v>
                      </c:pt>
                      <c:pt idx="11">
                        <c:v>9月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'發巳 (2)'!$C$23:$N$23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98</c:v>
                      </c:pt>
                      <c:pt idx="1">
                        <c:v>123</c:v>
                      </c:pt>
                      <c:pt idx="2">
                        <c:v>131</c:v>
                      </c:pt>
                      <c:pt idx="3">
                        <c:v>139</c:v>
                      </c:pt>
                      <c:pt idx="4">
                        <c:v>145</c:v>
                      </c:pt>
                      <c:pt idx="5">
                        <c:v>116</c:v>
                      </c:pt>
                      <c:pt idx="6">
                        <c:v>120</c:v>
                      </c:pt>
                      <c:pt idx="7">
                        <c:v>141</c:v>
                      </c:pt>
                      <c:pt idx="8">
                        <c:v>121</c:v>
                      </c:pt>
                      <c:pt idx="9">
                        <c:v>134</c:v>
                      </c:pt>
                      <c:pt idx="10">
                        <c:v>117</c:v>
                      </c:pt>
                      <c:pt idx="11">
                        <c:v>54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94D6-46D7-BE27-B22E22241925}"/>
                  </c:ext>
                </c:extLst>
              </c15:ser>
            </c15:filteredBarSeries>
          </c:ext>
        </c:extLst>
      </c:barChart>
      <c:catAx>
        <c:axId val="505961336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5962120"/>
        <c:crosses val="autoZero"/>
        <c:auto val="1"/>
        <c:lblAlgn val="ctr"/>
        <c:lblOffset val="100"/>
        <c:noMultiLvlLbl val="0"/>
      </c:catAx>
      <c:valAx>
        <c:axId val="50596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596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29187629613185"/>
          <c:y val="5.5843066689429392E-2"/>
          <c:w val="0.25468459354129946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35</xdr:row>
      <xdr:rowOff>57150</xdr:rowOff>
    </xdr:from>
    <xdr:to>
      <xdr:col>7</xdr:col>
      <xdr:colOff>895351</xdr:colOff>
      <xdr:row>53</xdr:row>
      <xdr:rowOff>47625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1FE547BB-005E-4A1F-AE85-C10012201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53</xdr:row>
      <xdr:rowOff>142875</xdr:rowOff>
    </xdr:from>
    <xdr:to>
      <xdr:col>15</xdr:col>
      <xdr:colOff>609600</xdr:colOff>
      <xdr:row>72</xdr:row>
      <xdr:rowOff>104775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D0937EAE-6A39-42F1-8F97-A36E16BDB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133351</xdr:colOff>
      <xdr:row>35</xdr:row>
      <xdr:rowOff>57150</xdr:rowOff>
    </xdr:from>
    <xdr:to>
      <xdr:col>15</xdr:col>
      <xdr:colOff>609601</xdr:colOff>
      <xdr:row>53</xdr:row>
      <xdr:rowOff>47625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EC744C2D-2335-4190-8292-41DFABAA7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276225</xdr:colOff>
      <xdr:row>53</xdr:row>
      <xdr:rowOff>142875</xdr:rowOff>
    </xdr:from>
    <xdr:to>
      <xdr:col>7</xdr:col>
      <xdr:colOff>895351</xdr:colOff>
      <xdr:row>72</xdr:row>
      <xdr:rowOff>114300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8C03F368-6900-478D-95A9-3D93D3E84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Y54"/>
  <sheetViews>
    <sheetView tabSelected="1" topLeftCell="A35" zoomScaleNormal="100" workbookViewId="0">
      <selection activeCell="I54" sqref="I54"/>
    </sheetView>
  </sheetViews>
  <sheetFormatPr defaultColWidth="12" defaultRowHeight="15.75" x14ac:dyDescent="0.15"/>
  <cols>
    <col min="1" max="1" width="12" style="8"/>
    <col min="2" max="2" width="13.5" style="8" customWidth="1"/>
    <col min="3" max="17" width="12" style="8"/>
    <col min="18" max="51" width="9.375" style="8" customWidth="1"/>
    <col min="52" max="16384" width="12" style="8"/>
  </cols>
  <sheetData>
    <row r="1" spans="2:51" s="4" customFormat="1" x14ac:dyDescent="0.15">
      <c r="B1" s="1"/>
      <c r="C1" s="1" t="s">
        <v>21</v>
      </c>
      <c r="D1" s="1" t="s">
        <v>13</v>
      </c>
      <c r="E1" s="1" t="s">
        <v>8</v>
      </c>
      <c r="F1" s="1" t="s">
        <v>20</v>
      </c>
      <c r="G1" s="1" t="s">
        <v>7</v>
      </c>
      <c r="H1" s="1" t="s">
        <v>6</v>
      </c>
      <c r="I1" s="1" t="s">
        <v>5</v>
      </c>
      <c r="J1" s="1" t="s">
        <v>9</v>
      </c>
      <c r="K1" s="1" t="s">
        <v>10</v>
      </c>
      <c r="L1" s="1" t="s">
        <v>11</v>
      </c>
      <c r="M1" s="1" t="s">
        <v>15</v>
      </c>
      <c r="N1" s="2" t="s">
        <v>16</v>
      </c>
      <c r="O1" s="2" t="s">
        <v>12</v>
      </c>
      <c r="P1" s="2" t="s">
        <v>13</v>
      </c>
      <c r="Q1" s="2" t="s">
        <v>8</v>
      </c>
      <c r="R1" s="2" t="s">
        <v>19</v>
      </c>
      <c r="S1" s="2" t="s">
        <v>7</v>
      </c>
      <c r="T1" s="2" t="s">
        <v>6</v>
      </c>
      <c r="U1" s="2" t="s">
        <v>5</v>
      </c>
      <c r="V1" s="2" t="s">
        <v>9</v>
      </c>
      <c r="W1" s="2" t="s">
        <v>10</v>
      </c>
      <c r="X1" s="2" t="s">
        <v>11</v>
      </c>
      <c r="Y1" s="2" t="s">
        <v>15</v>
      </c>
      <c r="Z1" s="2" t="s">
        <v>16</v>
      </c>
      <c r="AA1" s="2" t="s">
        <v>12</v>
      </c>
      <c r="AB1" s="2" t="s">
        <v>13</v>
      </c>
      <c r="AC1" s="2" t="s">
        <v>8</v>
      </c>
      <c r="AD1" s="2" t="s">
        <v>22</v>
      </c>
      <c r="AE1" s="2" t="s">
        <v>7</v>
      </c>
      <c r="AF1" s="2" t="s">
        <v>6</v>
      </c>
      <c r="AG1" s="2" t="s">
        <v>5</v>
      </c>
      <c r="AH1" s="2" t="s">
        <v>9</v>
      </c>
      <c r="AI1" s="2" t="s">
        <v>10</v>
      </c>
      <c r="AJ1" s="2" t="s">
        <v>11</v>
      </c>
      <c r="AK1" s="2" t="s">
        <v>15</v>
      </c>
      <c r="AL1" s="2" t="s">
        <v>16</v>
      </c>
      <c r="AM1" s="2" t="s">
        <v>12</v>
      </c>
      <c r="AN1" s="2" t="s">
        <v>13</v>
      </c>
      <c r="AO1" s="2" t="s">
        <v>8</v>
      </c>
      <c r="AP1" s="2" t="s">
        <v>25</v>
      </c>
      <c r="AQ1" s="2" t="s">
        <v>7</v>
      </c>
      <c r="AR1" s="2" t="s">
        <v>6</v>
      </c>
      <c r="AS1" s="2" t="s">
        <v>5</v>
      </c>
      <c r="AT1" s="2" t="s">
        <v>9</v>
      </c>
      <c r="AU1" s="2" t="s">
        <v>10</v>
      </c>
      <c r="AV1" s="2" t="s">
        <v>11</v>
      </c>
      <c r="AW1" s="2" t="s">
        <v>15</v>
      </c>
      <c r="AX1" s="2" t="s">
        <v>16</v>
      </c>
      <c r="AY1" s="3" t="s">
        <v>4</v>
      </c>
    </row>
    <row r="2" spans="2:51" x14ac:dyDescent="0.15">
      <c r="B2" s="5" t="s">
        <v>3</v>
      </c>
      <c r="C2" s="5">
        <f>C9</f>
        <v>4</v>
      </c>
      <c r="D2" s="5">
        <f t="shared" ref="D2:N2" si="0">D9</f>
        <v>130</v>
      </c>
      <c r="E2" s="5">
        <f t="shared" si="0"/>
        <v>102</v>
      </c>
      <c r="F2" s="5">
        <f t="shared" si="0"/>
        <v>132</v>
      </c>
      <c r="G2" s="5">
        <f t="shared" si="0"/>
        <v>160</v>
      </c>
      <c r="H2" s="5">
        <f t="shared" si="0"/>
        <v>146</v>
      </c>
      <c r="I2" s="5">
        <f t="shared" si="0"/>
        <v>148</v>
      </c>
      <c r="J2" s="5">
        <f t="shared" si="0"/>
        <v>174</v>
      </c>
      <c r="K2" s="5">
        <f t="shared" si="0"/>
        <v>129</v>
      </c>
      <c r="L2" s="5">
        <f t="shared" si="0"/>
        <v>143</v>
      </c>
      <c r="M2" s="5">
        <f t="shared" si="0"/>
        <v>151</v>
      </c>
      <c r="N2" s="5">
        <f t="shared" si="0"/>
        <v>111</v>
      </c>
      <c r="O2" s="5">
        <f>C16</f>
        <v>119</v>
      </c>
      <c r="P2" s="5">
        <f t="shared" ref="P2:S5" si="1">D16</f>
        <v>164</v>
      </c>
      <c r="Q2" s="5">
        <f t="shared" si="1"/>
        <v>157</v>
      </c>
      <c r="R2" s="5">
        <f t="shared" si="1"/>
        <v>191</v>
      </c>
      <c r="S2" s="5">
        <f t="shared" si="1"/>
        <v>130</v>
      </c>
      <c r="T2" s="5">
        <f>H16</f>
        <v>99</v>
      </c>
      <c r="U2" s="5">
        <f t="shared" ref="U2:Z2" si="2">I16</f>
        <v>190</v>
      </c>
      <c r="V2" s="5">
        <f t="shared" si="2"/>
        <v>195</v>
      </c>
      <c r="W2" s="5">
        <f t="shared" si="2"/>
        <v>156</v>
      </c>
      <c r="X2" s="5">
        <f t="shared" si="2"/>
        <v>129</v>
      </c>
      <c r="Y2" s="5">
        <f t="shared" si="2"/>
        <v>135</v>
      </c>
      <c r="Z2" s="5">
        <f t="shared" si="2"/>
        <v>135</v>
      </c>
      <c r="AA2" s="6">
        <f>C23</f>
        <v>98</v>
      </c>
      <c r="AB2" s="6">
        <f t="shared" ref="AB2:AL5" si="3">D23</f>
        <v>123</v>
      </c>
      <c r="AC2" s="6">
        <f t="shared" si="3"/>
        <v>131</v>
      </c>
      <c r="AD2" s="6">
        <f t="shared" si="3"/>
        <v>139</v>
      </c>
      <c r="AE2" s="6">
        <f t="shared" si="3"/>
        <v>145</v>
      </c>
      <c r="AF2" s="6">
        <f t="shared" si="3"/>
        <v>116</v>
      </c>
      <c r="AG2" s="6">
        <f t="shared" si="3"/>
        <v>120</v>
      </c>
      <c r="AH2" s="6">
        <f t="shared" si="3"/>
        <v>141</v>
      </c>
      <c r="AI2" s="6">
        <f t="shared" si="3"/>
        <v>121</v>
      </c>
      <c r="AJ2" s="6">
        <f t="shared" si="3"/>
        <v>134</v>
      </c>
      <c r="AK2" s="6">
        <f t="shared" si="3"/>
        <v>117</v>
      </c>
      <c r="AL2" s="6">
        <f t="shared" si="3"/>
        <v>54</v>
      </c>
      <c r="AM2" s="6">
        <f>C30</f>
        <v>72</v>
      </c>
      <c r="AN2" s="6">
        <f t="shared" ref="AN2:AX3" si="4">D30</f>
        <v>65</v>
      </c>
      <c r="AO2" s="6">
        <f t="shared" si="4"/>
        <v>57</v>
      </c>
      <c r="AP2" s="6">
        <f t="shared" si="4"/>
        <v>59</v>
      </c>
      <c r="AQ2" s="6">
        <f t="shared" si="4"/>
        <v>71</v>
      </c>
      <c r="AR2" s="6">
        <f t="shared" si="4"/>
        <v>31</v>
      </c>
      <c r="AS2" s="6">
        <f t="shared" si="4"/>
        <v>48</v>
      </c>
      <c r="AT2" s="6">
        <f t="shared" si="4"/>
        <v>55</v>
      </c>
      <c r="AU2" s="6">
        <f t="shared" si="4"/>
        <v>62</v>
      </c>
      <c r="AV2" s="6">
        <f t="shared" si="4"/>
        <v>45</v>
      </c>
      <c r="AW2" s="6">
        <f t="shared" si="4"/>
        <v>62</v>
      </c>
      <c r="AX2" s="6">
        <f t="shared" si="4"/>
        <v>50</v>
      </c>
      <c r="AY2" s="7">
        <f>SUM(C2:O2)</f>
        <v>1649</v>
      </c>
    </row>
    <row r="3" spans="2:51" x14ac:dyDescent="0.15">
      <c r="B3" s="5" t="s">
        <v>2</v>
      </c>
      <c r="C3" s="5">
        <f t="shared" ref="C3:N5" si="5">C10</f>
        <v>5</v>
      </c>
      <c r="D3" s="5">
        <f t="shared" si="5"/>
        <v>69</v>
      </c>
      <c r="E3" s="5">
        <f t="shared" si="5"/>
        <v>29</v>
      </c>
      <c r="F3" s="5">
        <f t="shared" si="5"/>
        <v>56</v>
      </c>
      <c r="G3" s="5">
        <f t="shared" si="5"/>
        <v>55</v>
      </c>
      <c r="H3" s="5">
        <f t="shared" si="5"/>
        <v>33</v>
      </c>
      <c r="I3" s="5">
        <f t="shared" si="5"/>
        <v>44</v>
      </c>
      <c r="J3" s="5">
        <f t="shared" si="5"/>
        <v>39</v>
      </c>
      <c r="K3" s="5">
        <f t="shared" si="5"/>
        <v>42</v>
      </c>
      <c r="L3" s="5">
        <f t="shared" si="5"/>
        <v>36</v>
      </c>
      <c r="M3" s="5">
        <f t="shared" si="5"/>
        <v>35</v>
      </c>
      <c r="N3" s="5">
        <f t="shared" si="5"/>
        <v>11</v>
      </c>
      <c r="O3" s="5">
        <f t="shared" ref="O3:O5" si="6">C17</f>
        <v>22</v>
      </c>
      <c r="P3" s="5">
        <f t="shared" si="1"/>
        <v>39</v>
      </c>
      <c r="Q3" s="5">
        <f t="shared" si="1"/>
        <v>20</v>
      </c>
      <c r="R3" s="5">
        <f t="shared" si="1"/>
        <v>44</v>
      </c>
      <c r="S3" s="5">
        <f t="shared" si="1"/>
        <v>20</v>
      </c>
      <c r="T3" s="5">
        <f>H17</f>
        <v>19</v>
      </c>
      <c r="U3" s="5">
        <f t="shared" ref="U3:Z3" si="7">I17</f>
        <v>18</v>
      </c>
      <c r="V3" s="5">
        <f t="shared" si="7"/>
        <v>35</v>
      </c>
      <c r="W3" s="5">
        <f t="shared" si="7"/>
        <v>35</v>
      </c>
      <c r="X3" s="5">
        <f t="shared" si="7"/>
        <v>19</v>
      </c>
      <c r="Y3" s="5">
        <f t="shared" si="7"/>
        <v>22</v>
      </c>
      <c r="Z3" s="5">
        <f t="shared" si="7"/>
        <v>26</v>
      </c>
      <c r="AA3" s="6">
        <f t="shared" ref="AA3:AA5" si="8">C24</f>
        <v>12</v>
      </c>
      <c r="AB3" s="6">
        <f t="shared" si="3"/>
        <v>23</v>
      </c>
      <c r="AC3" s="6">
        <f t="shared" si="3"/>
        <v>24</v>
      </c>
      <c r="AD3" s="6">
        <f t="shared" si="3"/>
        <v>32</v>
      </c>
      <c r="AE3" s="6">
        <f t="shared" si="3"/>
        <v>40</v>
      </c>
      <c r="AF3" s="6">
        <f t="shared" si="3"/>
        <v>29</v>
      </c>
      <c r="AG3" s="6">
        <f t="shared" si="3"/>
        <v>12</v>
      </c>
      <c r="AH3" s="6">
        <f t="shared" si="3"/>
        <v>25</v>
      </c>
      <c r="AI3" s="6">
        <f t="shared" si="3"/>
        <v>25</v>
      </c>
      <c r="AJ3" s="6">
        <f t="shared" si="3"/>
        <v>21</v>
      </c>
      <c r="AK3" s="6">
        <f t="shared" si="3"/>
        <v>15</v>
      </c>
      <c r="AL3" s="6">
        <f t="shared" si="3"/>
        <v>7</v>
      </c>
      <c r="AM3" s="6">
        <f t="shared" ref="AM3" si="9">C31</f>
        <v>5</v>
      </c>
      <c r="AN3" s="6">
        <f t="shared" si="4"/>
        <v>7</v>
      </c>
      <c r="AO3" s="6">
        <f t="shared" si="4"/>
        <v>4</v>
      </c>
      <c r="AP3" s="6">
        <f t="shared" si="4"/>
        <v>3</v>
      </c>
      <c r="AQ3" s="6">
        <f t="shared" si="4"/>
        <v>4</v>
      </c>
      <c r="AR3" s="6">
        <f t="shared" si="4"/>
        <v>2</v>
      </c>
      <c r="AS3" s="6">
        <f t="shared" si="4"/>
        <v>5</v>
      </c>
      <c r="AT3" s="6">
        <f t="shared" si="4"/>
        <v>6</v>
      </c>
      <c r="AU3" s="6">
        <f t="shared" si="4"/>
        <v>7</v>
      </c>
      <c r="AV3" s="6">
        <f t="shared" si="4"/>
        <v>4</v>
      </c>
      <c r="AW3" s="6">
        <f t="shared" si="4"/>
        <v>3</v>
      </c>
      <c r="AX3" s="6">
        <f t="shared" si="4"/>
        <v>7</v>
      </c>
      <c r="AY3" s="7">
        <f>SUM(C3:N3)</f>
        <v>454</v>
      </c>
    </row>
    <row r="4" spans="2:51" x14ac:dyDescent="0.15">
      <c r="B4" s="5" t="s">
        <v>1</v>
      </c>
      <c r="C4" s="5">
        <f t="shared" si="5"/>
        <v>1</v>
      </c>
      <c r="D4" s="5">
        <f t="shared" si="5"/>
        <v>10</v>
      </c>
      <c r="E4" s="5">
        <f t="shared" si="5"/>
        <v>2</v>
      </c>
      <c r="F4" s="5">
        <f t="shared" si="5"/>
        <v>5</v>
      </c>
      <c r="G4" s="5">
        <f t="shared" si="5"/>
        <v>13</v>
      </c>
      <c r="H4" s="5">
        <f t="shared" si="5"/>
        <v>9</v>
      </c>
      <c r="I4" s="5">
        <f t="shared" si="5"/>
        <v>18</v>
      </c>
      <c r="J4" s="5">
        <f t="shared" si="5"/>
        <v>15</v>
      </c>
      <c r="K4" s="5">
        <f t="shared" si="5"/>
        <v>12</v>
      </c>
      <c r="L4" s="5">
        <f t="shared" si="5"/>
        <v>6</v>
      </c>
      <c r="M4" s="5">
        <f t="shared" si="5"/>
        <v>2</v>
      </c>
      <c r="N4" s="5">
        <f t="shared" si="5"/>
        <v>3</v>
      </c>
      <c r="O4" s="5">
        <f t="shared" si="6"/>
        <v>4</v>
      </c>
      <c r="P4" s="5">
        <f t="shared" si="1"/>
        <v>6</v>
      </c>
      <c r="Q4" s="5">
        <f t="shared" si="1"/>
        <v>7</v>
      </c>
      <c r="R4" s="5">
        <f t="shared" si="1"/>
        <v>5</v>
      </c>
      <c r="S4" s="5">
        <f t="shared" si="1"/>
        <v>6</v>
      </c>
      <c r="T4" s="5">
        <f>H18</f>
        <v>1</v>
      </c>
      <c r="U4" s="5">
        <f t="shared" ref="U4:Z4" si="10">I18</f>
        <v>0</v>
      </c>
      <c r="V4" s="5">
        <f t="shared" si="10"/>
        <v>3</v>
      </c>
      <c r="W4" s="5">
        <f t="shared" si="10"/>
        <v>5</v>
      </c>
      <c r="X4" s="5">
        <f t="shared" si="10"/>
        <v>2</v>
      </c>
      <c r="Y4" s="5">
        <f t="shared" si="10"/>
        <v>3</v>
      </c>
      <c r="Z4" s="5">
        <f t="shared" si="10"/>
        <v>3</v>
      </c>
      <c r="AA4" s="6">
        <f t="shared" si="8"/>
        <v>1</v>
      </c>
      <c r="AB4" s="6">
        <f t="shared" si="3"/>
        <v>7</v>
      </c>
      <c r="AC4" s="6">
        <f t="shared" si="3"/>
        <v>4</v>
      </c>
      <c r="AD4" s="6">
        <f t="shared" si="3"/>
        <v>7</v>
      </c>
      <c r="AE4" s="6">
        <f t="shared" si="3"/>
        <v>5</v>
      </c>
      <c r="AF4" s="6">
        <f t="shared" si="3"/>
        <v>3</v>
      </c>
      <c r="AG4" s="6">
        <f t="shared" si="3"/>
        <v>6</v>
      </c>
      <c r="AH4" s="6">
        <f t="shared" si="3"/>
        <v>4</v>
      </c>
      <c r="AI4" s="6">
        <f t="shared" si="3"/>
        <v>1</v>
      </c>
      <c r="AJ4" s="6">
        <f t="shared" si="3"/>
        <v>0</v>
      </c>
      <c r="AK4" s="6">
        <f t="shared" si="3"/>
        <v>1</v>
      </c>
      <c r="AL4" s="6">
        <f t="shared" si="3"/>
        <v>2</v>
      </c>
      <c r="AM4" s="6">
        <f t="shared" ref="AM4:AX5" si="11">C34</f>
        <v>0</v>
      </c>
      <c r="AN4" s="6">
        <f t="shared" si="11"/>
        <v>0</v>
      </c>
      <c r="AO4" s="6">
        <f t="shared" si="11"/>
        <v>0</v>
      </c>
      <c r="AP4" s="6">
        <f t="shared" si="11"/>
        <v>0</v>
      </c>
      <c r="AQ4" s="6">
        <f t="shared" si="11"/>
        <v>0</v>
      </c>
      <c r="AR4" s="6">
        <f t="shared" si="11"/>
        <v>0</v>
      </c>
      <c r="AS4" s="6">
        <f t="shared" si="11"/>
        <v>0</v>
      </c>
      <c r="AT4" s="6">
        <f t="shared" si="11"/>
        <v>202</v>
      </c>
      <c r="AU4" s="6">
        <f t="shared" si="11"/>
        <v>228</v>
      </c>
      <c r="AV4" s="6">
        <f t="shared" si="11"/>
        <v>148</v>
      </c>
      <c r="AW4" s="6">
        <f t="shared" si="11"/>
        <v>149</v>
      </c>
      <c r="AX4" s="6">
        <f t="shared" si="11"/>
        <v>163</v>
      </c>
      <c r="AY4" s="7">
        <f>SUM(C4:N4)</f>
        <v>96</v>
      </c>
    </row>
    <row r="5" spans="2:51" x14ac:dyDescent="0.15">
      <c r="B5" s="5" t="s">
        <v>0</v>
      </c>
      <c r="C5" s="5">
        <f t="shared" si="5"/>
        <v>90</v>
      </c>
      <c r="D5" s="5">
        <f t="shared" si="5"/>
        <v>222</v>
      </c>
      <c r="E5" s="5">
        <f t="shared" si="5"/>
        <v>109</v>
      </c>
      <c r="F5" s="5">
        <f t="shared" si="5"/>
        <v>149</v>
      </c>
      <c r="G5" s="5">
        <f t="shared" si="5"/>
        <v>148</v>
      </c>
      <c r="H5" s="5">
        <f t="shared" si="5"/>
        <v>107</v>
      </c>
      <c r="I5" s="5">
        <f t="shared" si="5"/>
        <v>92</v>
      </c>
      <c r="J5" s="5">
        <f t="shared" si="5"/>
        <v>109</v>
      </c>
      <c r="K5" s="5">
        <f t="shared" si="5"/>
        <v>87</v>
      </c>
      <c r="L5" s="5">
        <f t="shared" si="5"/>
        <v>79</v>
      </c>
      <c r="M5" s="5">
        <f t="shared" si="5"/>
        <v>74</v>
      </c>
      <c r="N5" s="5">
        <f t="shared" si="5"/>
        <v>48</v>
      </c>
      <c r="O5" s="5">
        <f t="shared" si="6"/>
        <v>54</v>
      </c>
      <c r="P5" s="5">
        <f t="shared" si="1"/>
        <v>77</v>
      </c>
      <c r="Q5" s="5">
        <f t="shared" si="1"/>
        <v>46</v>
      </c>
      <c r="R5" s="5">
        <f t="shared" si="1"/>
        <v>108</v>
      </c>
      <c r="S5" s="5">
        <f t="shared" si="1"/>
        <v>61</v>
      </c>
      <c r="T5" s="5">
        <f>H19</f>
        <v>37</v>
      </c>
      <c r="U5" s="5">
        <f t="shared" ref="U5:Z5" si="12">I19</f>
        <v>48</v>
      </c>
      <c r="V5" s="5">
        <f t="shared" si="12"/>
        <v>61</v>
      </c>
      <c r="W5" s="5">
        <f t="shared" si="12"/>
        <v>76</v>
      </c>
      <c r="X5" s="5">
        <f t="shared" si="12"/>
        <v>41</v>
      </c>
      <c r="Y5" s="5">
        <f t="shared" si="12"/>
        <v>53</v>
      </c>
      <c r="Z5" s="5">
        <f t="shared" si="12"/>
        <v>54</v>
      </c>
      <c r="AA5" s="6">
        <f t="shared" si="8"/>
        <v>53</v>
      </c>
      <c r="AB5" s="6">
        <f t="shared" si="3"/>
        <v>60</v>
      </c>
      <c r="AC5" s="6">
        <f t="shared" si="3"/>
        <v>60</v>
      </c>
      <c r="AD5" s="6">
        <f t="shared" si="3"/>
        <v>70</v>
      </c>
      <c r="AE5" s="6">
        <f t="shared" si="3"/>
        <v>70</v>
      </c>
      <c r="AF5" s="6">
        <f t="shared" si="3"/>
        <v>47</v>
      </c>
      <c r="AG5" s="6">
        <f t="shared" si="3"/>
        <v>47</v>
      </c>
      <c r="AH5" s="6">
        <f t="shared" si="3"/>
        <v>70</v>
      </c>
      <c r="AI5" s="6">
        <f t="shared" si="3"/>
        <v>41</v>
      </c>
      <c r="AJ5" s="6">
        <f t="shared" si="3"/>
        <v>74</v>
      </c>
      <c r="AK5" s="6">
        <f t="shared" si="3"/>
        <v>52</v>
      </c>
      <c r="AL5" s="6">
        <f t="shared" si="3"/>
        <v>19</v>
      </c>
      <c r="AM5" s="6">
        <f t="shared" si="11"/>
        <v>13</v>
      </c>
      <c r="AN5" s="6">
        <f t="shared" si="11"/>
        <v>18</v>
      </c>
      <c r="AO5" s="6">
        <f t="shared" si="11"/>
        <v>7</v>
      </c>
      <c r="AP5" s="6">
        <f t="shared" si="11"/>
        <v>21</v>
      </c>
      <c r="AQ5" s="6">
        <f t="shared" si="11"/>
        <v>20</v>
      </c>
      <c r="AR5" s="6">
        <f t="shared" si="11"/>
        <v>21</v>
      </c>
      <c r="AS5" s="6">
        <f t="shared" si="11"/>
        <v>17</v>
      </c>
      <c r="AT5" s="6">
        <f t="shared" si="11"/>
        <v>14</v>
      </c>
      <c r="AU5" s="6">
        <f t="shared" si="11"/>
        <v>27</v>
      </c>
      <c r="AV5" s="6">
        <f t="shared" si="11"/>
        <v>17</v>
      </c>
      <c r="AW5" s="6">
        <f t="shared" si="11"/>
        <v>14</v>
      </c>
      <c r="AX5" s="6">
        <f t="shared" si="11"/>
        <v>7</v>
      </c>
      <c r="AY5" s="7">
        <f>SUM(C5:N5)</f>
        <v>1314</v>
      </c>
    </row>
    <row r="6" spans="2:51" s="9" customFormat="1" ht="12" customHeight="1" x14ac:dyDescent="0.15">
      <c r="E6" s="10"/>
    </row>
    <row r="7" spans="2:51" x14ac:dyDescent="0.15">
      <c r="B7" s="8" t="s">
        <v>17</v>
      </c>
    </row>
    <row r="8" spans="2:51" x14ac:dyDescent="0.15">
      <c r="B8" s="1"/>
      <c r="C8" s="1" t="s">
        <v>12</v>
      </c>
      <c r="D8" s="1" t="s">
        <v>13</v>
      </c>
      <c r="E8" s="1" t="s">
        <v>8</v>
      </c>
      <c r="F8" s="1" t="s">
        <v>14</v>
      </c>
      <c r="G8" s="1" t="s">
        <v>7</v>
      </c>
      <c r="H8" s="1" t="s">
        <v>6</v>
      </c>
      <c r="I8" s="1" t="s">
        <v>5</v>
      </c>
      <c r="J8" s="1" t="s">
        <v>9</v>
      </c>
      <c r="K8" s="1" t="s">
        <v>10</v>
      </c>
      <c r="L8" s="1" t="s">
        <v>11</v>
      </c>
      <c r="M8" s="1" t="s">
        <v>15</v>
      </c>
      <c r="N8" s="1" t="s">
        <v>16</v>
      </c>
      <c r="O8" s="3" t="s">
        <v>4</v>
      </c>
    </row>
    <row r="9" spans="2:51" x14ac:dyDescent="0.15">
      <c r="B9" s="5" t="s">
        <v>3</v>
      </c>
      <c r="C9" s="5">
        <v>4</v>
      </c>
      <c r="D9" s="5">
        <v>130</v>
      </c>
      <c r="E9" s="5">
        <v>102</v>
      </c>
      <c r="F9" s="5">
        <v>132</v>
      </c>
      <c r="G9" s="5">
        <v>160</v>
      </c>
      <c r="H9" s="5">
        <v>146</v>
      </c>
      <c r="I9" s="5">
        <v>148</v>
      </c>
      <c r="J9" s="5">
        <v>174</v>
      </c>
      <c r="K9" s="5">
        <v>129</v>
      </c>
      <c r="L9" s="5">
        <v>143</v>
      </c>
      <c r="M9" s="11">
        <v>151</v>
      </c>
      <c r="N9" s="11">
        <v>111</v>
      </c>
      <c r="O9" s="7">
        <f>SUM(C9:N9)</f>
        <v>1530</v>
      </c>
    </row>
    <row r="10" spans="2:51" x14ac:dyDescent="0.15">
      <c r="B10" s="5" t="s">
        <v>2</v>
      </c>
      <c r="C10" s="5">
        <v>5</v>
      </c>
      <c r="D10" s="5">
        <v>69</v>
      </c>
      <c r="E10" s="5">
        <v>29</v>
      </c>
      <c r="F10" s="5">
        <v>56</v>
      </c>
      <c r="G10" s="5">
        <v>55</v>
      </c>
      <c r="H10" s="5">
        <v>33</v>
      </c>
      <c r="I10" s="5">
        <v>44</v>
      </c>
      <c r="J10" s="5">
        <v>39</v>
      </c>
      <c r="K10" s="5">
        <v>42</v>
      </c>
      <c r="L10" s="5">
        <v>36</v>
      </c>
      <c r="M10" s="11">
        <v>35</v>
      </c>
      <c r="N10" s="11">
        <v>11</v>
      </c>
      <c r="O10" s="7">
        <f>SUM(C10:N10)</f>
        <v>454</v>
      </c>
    </row>
    <row r="11" spans="2:51" x14ac:dyDescent="0.15">
      <c r="B11" s="5" t="s">
        <v>1</v>
      </c>
      <c r="C11" s="5">
        <v>1</v>
      </c>
      <c r="D11" s="5">
        <v>10</v>
      </c>
      <c r="E11" s="5">
        <v>2</v>
      </c>
      <c r="F11" s="5">
        <v>5</v>
      </c>
      <c r="G11" s="5">
        <v>13</v>
      </c>
      <c r="H11" s="5">
        <v>9</v>
      </c>
      <c r="I11" s="5">
        <v>18</v>
      </c>
      <c r="J11" s="5">
        <v>15</v>
      </c>
      <c r="K11" s="5">
        <v>12</v>
      </c>
      <c r="L11" s="5">
        <v>6</v>
      </c>
      <c r="M11" s="11">
        <v>2</v>
      </c>
      <c r="N11" s="11">
        <v>3</v>
      </c>
      <c r="O11" s="7">
        <f>SUM(C11:N11)</f>
        <v>96</v>
      </c>
    </row>
    <row r="12" spans="2:51" x14ac:dyDescent="0.15">
      <c r="B12" s="5" t="s">
        <v>0</v>
      </c>
      <c r="C12" s="5">
        <v>90</v>
      </c>
      <c r="D12" s="5">
        <v>222</v>
      </c>
      <c r="E12" s="5">
        <v>109</v>
      </c>
      <c r="F12" s="5">
        <v>149</v>
      </c>
      <c r="G12" s="5">
        <v>148</v>
      </c>
      <c r="H12" s="5">
        <v>107</v>
      </c>
      <c r="I12" s="5">
        <v>92</v>
      </c>
      <c r="J12" s="5">
        <v>109</v>
      </c>
      <c r="K12" s="5">
        <v>87</v>
      </c>
      <c r="L12" s="5">
        <v>79</v>
      </c>
      <c r="M12" s="11">
        <v>74</v>
      </c>
      <c r="N12" s="11">
        <v>48</v>
      </c>
      <c r="O12" s="7">
        <f>SUM(C12:N12)</f>
        <v>1314</v>
      </c>
    </row>
    <row r="14" spans="2:51" x14ac:dyDescent="0.15">
      <c r="B14" s="8" t="s">
        <v>18</v>
      </c>
    </row>
    <row r="15" spans="2:51" x14ac:dyDescent="0.15">
      <c r="B15" s="1"/>
      <c r="C15" s="1" t="s">
        <v>12</v>
      </c>
      <c r="D15" s="1" t="s">
        <v>13</v>
      </c>
      <c r="E15" s="1" t="s">
        <v>8</v>
      </c>
      <c r="F15" s="1" t="s">
        <v>14</v>
      </c>
      <c r="G15" s="1" t="s">
        <v>7</v>
      </c>
      <c r="H15" s="1" t="s">
        <v>6</v>
      </c>
      <c r="I15" s="1" t="s">
        <v>5</v>
      </c>
      <c r="J15" s="1" t="s">
        <v>9</v>
      </c>
      <c r="K15" s="1" t="s">
        <v>10</v>
      </c>
      <c r="L15" s="1" t="s">
        <v>11</v>
      </c>
      <c r="M15" s="1" t="s">
        <v>15</v>
      </c>
      <c r="N15" s="1" t="s">
        <v>16</v>
      </c>
      <c r="O15" s="3" t="s">
        <v>4</v>
      </c>
    </row>
    <row r="16" spans="2:51" x14ac:dyDescent="0.15">
      <c r="B16" s="5" t="s">
        <v>3</v>
      </c>
      <c r="C16" s="5">
        <v>119</v>
      </c>
      <c r="D16" s="5">
        <v>164</v>
      </c>
      <c r="E16" s="5">
        <v>157</v>
      </c>
      <c r="F16" s="5">
        <v>191</v>
      </c>
      <c r="G16" s="5">
        <v>130</v>
      </c>
      <c r="H16" s="5">
        <v>99</v>
      </c>
      <c r="I16" s="5">
        <v>190</v>
      </c>
      <c r="J16" s="5">
        <v>195</v>
      </c>
      <c r="K16" s="5">
        <v>156</v>
      </c>
      <c r="L16" s="5">
        <v>129</v>
      </c>
      <c r="M16" s="11">
        <v>135</v>
      </c>
      <c r="N16" s="11">
        <v>135</v>
      </c>
      <c r="O16" s="7">
        <f>SUM(C16:N16)+O9</f>
        <v>3330</v>
      </c>
    </row>
    <row r="17" spans="2:15" x14ac:dyDescent="0.15">
      <c r="B17" s="5" t="s">
        <v>2</v>
      </c>
      <c r="C17" s="5">
        <v>22</v>
      </c>
      <c r="D17" s="5">
        <v>39</v>
      </c>
      <c r="E17" s="5">
        <v>20</v>
      </c>
      <c r="F17" s="5">
        <v>44</v>
      </c>
      <c r="G17" s="5">
        <v>20</v>
      </c>
      <c r="H17" s="5">
        <v>19</v>
      </c>
      <c r="I17" s="5">
        <v>18</v>
      </c>
      <c r="J17" s="5">
        <v>35</v>
      </c>
      <c r="K17" s="5">
        <v>35</v>
      </c>
      <c r="L17" s="5">
        <v>19</v>
      </c>
      <c r="M17" s="11">
        <v>22</v>
      </c>
      <c r="N17" s="11">
        <v>26</v>
      </c>
      <c r="O17" s="7">
        <f t="shared" ref="O17:O19" si="13">SUM(C17:N17)+O10</f>
        <v>773</v>
      </c>
    </row>
    <row r="18" spans="2:15" x14ac:dyDescent="0.15">
      <c r="B18" s="5" t="s">
        <v>1</v>
      </c>
      <c r="C18" s="5">
        <v>4</v>
      </c>
      <c r="D18" s="5">
        <v>6</v>
      </c>
      <c r="E18" s="5">
        <v>7</v>
      </c>
      <c r="F18" s="5">
        <v>5</v>
      </c>
      <c r="G18" s="5">
        <v>6</v>
      </c>
      <c r="H18" s="5">
        <v>1</v>
      </c>
      <c r="I18" s="5">
        <v>0</v>
      </c>
      <c r="J18" s="5">
        <v>3</v>
      </c>
      <c r="K18" s="5">
        <v>5</v>
      </c>
      <c r="L18" s="5">
        <v>2</v>
      </c>
      <c r="M18" s="11">
        <v>3</v>
      </c>
      <c r="N18" s="11">
        <v>3</v>
      </c>
      <c r="O18" s="7">
        <f t="shared" si="13"/>
        <v>141</v>
      </c>
    </row>
    <row r="19" spans="2:15" x14ac:dyDescent="0.15">
      <c r="B19" s="5" t="s">
        <v>0</v>
      </c>
      <c r="C19" s="5">
        <v>54</v>
      </c>
      <c r="D19" s="5">
        <v>77</v>
      </c>
      <c r="E19" s="5">
        <v>46</v>
      </c>
      <c r="F19" s="5">
        <v>108</v>
      </c>
      <c r="G19" s="5">
        <v>61</v>
      </c>
      <c r="H19" s="5">
        <v>37</v>
      </c>
      <c r="I19" s="5">
        <v>48</v>
      </c>
      <c r="J19" s="5">
        <v>61</v>
      </c>
      <c r="K19" s="5">
        <v>76</v>
      </c>
      <c r="L19" s="5">
        <v>41</v>
      </c>
      <c r="M19" s="11">
        <v>53</v>
      </c>
      <c r="N19" s="11">
        <v>54</v>
      </c>
      <c r="O19" s="7">
        <f t="shared" si="13"/>
        <v>2030</v>
      </c>
    </row>
    <row r="20" spans="2:15" x14ac:dyDescent="0.15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2:15" ht="18" customHeight="1" x14ac:dyDescent="0.15">
      <c r="B21" s="8" t="s">
        <v>23</v>
      </c>
    </row>
    <row r="22" spans="2:15" ht="18" customHeight="1" x14ac:dyDescent="0.15">
      <c r="B22" s="1"/>
      <c r="C22" s="1" t="s">
        <v>12</v>
      </c>
      <c r="D22" s="1" t="s">
        <v>13</v>
      </c>
      <c r="E22" s="1" t="s">
        <v>8</v>
      </c>
      <c r="F22" s="1" t="s">
        <v>14</v>
      </c>
      <c r="G22" s="1" t="s">
        <v>7</v>
      </c>
      <c r="H22" s="1" t="s">
        <v>6</v>
      </c>
      <c r="I22" s="1" t="s">
        <v>5</v>
      </c>
      <c r="J22" s="1" t="s">
        <v>9</v>
      </c>
      <c r="K22" s="1" t="s">
        <v>10</v>
      </c>
      <c r="L22" s="1" t="s">
        <v>11</v>
      </c>
      <c r="M22" s="1" t="s">
        <v>15</v>
      </c>
      <c r="N22" s="1" t="s">
        <v>16</v>
      </c>
      <c r="O22" s="3" t="s">
        <v>4</v>
      </c>
    </row>
    <row r="23" spans="2:15" ht="18" customHeight="1" x14ac:dyDescent="0.15">
      <c r="B23" s="5" t="s">
        <v>3</v>
      </c>
      <c r="C23" s="5">
        <v>98</v>
      </c>
      <c r="D23" s="5">
        <v>123</v>
      </c>
      <c r="E23" s="5">
        <v>131</v>
      </c>
      <c r="F23" s="5">
        <v>139</v>
      </c>
      <c r="G23" s="5">
        <v>145</v>
      </c>
      <c r="H23" s="5">
        <v>116</v>
      </c>
      <c r="I23" s="5">
        <v>120</v>
      </c>
      <c r="J23" s="5">
        <v>141</v>
      </c>
      <c r="K23" s="5">
        <v>121</v>
      </c>
      <c r="L23" s="5">
        <v>134</v>
      </c>
      <c r="M23" s="11">
        <v>117</v>
      </c>
      <c r="N23" s="11">
        <v>54</v>
      </c>
      <c r="O23" s="7">
        <f>SUM(C23:N23)</f>
        <v>1439</v>
      </c>
    </row>
    <row r="24" spans="2:15" ht="18" customHeight="1" x14ac:dyDescent="0.15">
      <c r="B24" s="5" t="s">
        <v>2</v>
      </c>
      <c r="C24" s="5">
        <v>12</v>
      </c>
      <c r="D24" s="5">
        <v>23</v>
      </c>
      <c r="E24" s="5">
        <v>24</v>
      </c>
      <c r="F24" s="5">
        <v>32</v>
      </c>
      <c r="G24" s="5">
        <v>40</v>
      </c>
      <c r="H24" s="5">
        <v>29</v>
      </c>
      <c r="I24" s="5">
        <v>12</v>
      </c>
      <c r="J24" s="5">
        <v>25</v>
      </c>
      <c r="K24" s="5">
        <v>25</v>
      </c>
      <c r="L24" s="5">
        <v>21</v>
      </c>
      <c r="M24" s="11">
        <v>15</v>
      </c>
      <c r="N24" s="11">
        <v>7</v>
      </c>
      <c r="O24" s="7">
        <f t="shared" ref="O24:O25" si="14">SUM(C24:N24)</f>
        <v>265</v>
      </c>
    </row>
    <row r="25" spans="2:15" ht="18" customHeight="1" x14ac:dyDescent="0.15">
      <c r="B25" s="5" t="s">
        <v>1</v>
      </c>
      <c r="C25" s="5">
        <v>1</v>
      </c>
      <c r="D25" s="5">
        <v>7</v>
      </c>
      <c r="E25" s="5">
        <v>4</v>
      </c>
      <c r="F25" s="5">
        <v>7</v>
      </c>
      <c r="G25" s="5">
        <v>5</v>
      </c>
      <c r="H25" s="5">
        <v>3</v>
      </c>
      <c r="I25" s="5">
        <v>6</v>
      </c>
      <c r="J25" s="5">
        <v>4</v>
      </c>
      <c r="K25" s="5">
        <v>1</v>
      </c>
      <c r="L25" s="5">
        <v>0</v>
      </c>
      <c r="M25" s="11">
        <v>1</v>
      </c>
      <c r="N25" s="11">
        <v>2</v>
      </c>
      <c r="O25" s="7">
        <f t="shared" si="14"/>
        <v>41</v>
      </c>
    </row>
    <row r="26" spans="2:15" ht="18" customHeight="1" x14ac:dyDescent="0.15">
      <c r="B26" s="5" t="s">
        <v>0</v>
      </c>
      <c r="C26" s="5">
        <v>53</v>
      </c>
      <c r="D26" s="5">
        <v>60</v>
      </c>
      <c r="E26" s="5">
        <v>60</v>
      </c>
      <c r="F26" s="5">
        <v>70</v>
      </c>
      <c r="G26" s="5">
        <v>70</v>
      </c>
      <c r="H26" s="5">
        <v>47</v>
      </c>
      <c r="I26" s="5">
        <v>47</v>
      </c>
      <c r="J26" s="5">
        <v>70</v>
      </c>
      <c r="K26" s="5">
        <v>41</v>
      </c>
      <c r="L26" s="5">
        <v>74</v>
      </c>
      <c r="M26" s="11">
        <v>52</v>
      </c>
      <c r="N26" s="11">
        <v>19</v>
      </c>
      <c r="O26" s="7">
        <f t="shared" ref="O26" si="15">SUM(C26:N26)+O19</f>
        <v>2693</v>
      </c>
    </row>
    <row r="27" spans="2:15" ht="18" customHeight="1" x14ac:dyDescent="0.15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2:15" ht="18" customHeight="1" x14ac:dyDescent="0.15">
      <c r="B28" s="8" t="s">
        <v>24</v>
      </c>
    </row>
    <row r="29" spans="2:15" ht="18" customHeight="1" x14ac:dyDescent="0.15">
      <c r="B29" s="1"/>
      <c r="C29" s="1" t="s">
        <v>12</v>
      </c>
      <c r="D29" s="1" t="s">
        <v>13</v>
      </c>
      <c r="E29" s="1" t="s">
        <v>8</v>
      </c>
      <c r="F29" s="1" t="s">
        <v>14</v>
      </c>
      <c r="G29" s="1" t="s">
        <v>7</v>
      </c>
      <c r="H29" s="1" t="s">
        <v>6</v>
      </c>
      <c r="I29" s="1" t="s">
        <v>5</v>
      </c>
      <c r="J29" s="1" t="s">
        <v>9</v>
      </c>
      <c r="K29" s="1" t="s">
        <v>10</v>
      </c>
      <c r="L29" s="1" t="s">
        <v>11</v>
      </c>
      <c r="M29" s="1" t="s">
        <v>15</v>
      </c>
      <c r="N29" s="1" t="s">
        <v>16</v>
      </c>
      <c r="O29" s="3" t="s">
        <v>4</v>
      </c>
    </row>
    <row r="30" spans="2:15" ht="18" customHeight="1" x14ac:dyDescent="0.15">
      <c r="B30" s="5" t="s">
        <v>3</v>
      </c>
      <c r="C30" s="5">
        <v>72</v>
      </c>
      <c r="D30" s="5">
        <v>65</v>
      </c>
      <c r="E30" s="5">
        <v>57</v>
      </c>
      <c r="F30" s="5">
        <v>59</v>
      </c>
      <c r="G30" s="5">
        <v>71</v>
      </c>
      <c r="H30" s="5">
        <v>31</v>
      </c>
      <c r="I30" s="5">
        <v>48</v>
      </c>
      <c r="J30" s="5">
        <v>55</v>
      </c>
      <c r="K30" s="5">
        <v>62</v>
      </c>
      <c r="L30" s="5">
        <v>45</v>
      </c>
      <c r="M30" s="11">
        <v>62</v>
      </c>
      <c r="N30" s="11">
        <v>50</v>
      </c>
      <c r="O30" s="7">
        <f>SUM(C30:N30)</f>
        <v>677</v>
      </c>
    </row>
    <row r="31" spans="2:15" ht="18" customHeight="1" x14ac:dyDescent="0.15">
      <c r="B31" s="5" t="s">
        <v>2</v>
      </c>
      <c r="C31" s="5">
        <v>5</v>
      </c>
      <c r="D31" s="5">
        <v>7</v>
      </c>
      <c r="E31" s="5">
        <v>4</v>
      </c>
      <c r="F31" s="5">
        <v>3</v>
      </c>
      <c r="G31" s="5">
        <v>4</v>
      </c>
      <c r="H31" s="5">
        <v>2</v>
      </c>
      <c r="I31" s="5">
        <v>5</v>
      </c>
      <c r="J31" s="5">
        <v>6</v>
      </c>
      <c r="K31" s="5">
        <v>7</v>
      </c>
      <c r="L31" s="5">
        <v>4</v>
      </c>
      <c r="M31" s="11">
        <v>3</v>
      </c>
      <c r="N31" s="11">
        <v>7</v>
      </c>
      <c r="O31" s="7">
        <f t="shared" ref="O31:O34" si="16">SUM(C31:N31)</f>
        <v>57</v>
      </c>
    </row>
    <row r="32" spans="2:15" ht="18" customHeight="1" x14ac:dyDescent="0.15">
      <c r="B32" s="5" t="s">
        <v>26</v>
      </c>
      <c r="C32" s="5"/>
      <c r="D32" s="5"/>
      <c r="E32" s="5"/>
      <c r="F32" s="5"/>
      <c r="G32" s="5"/>
      <c r="H32" s="5">
        <v>5</v>
      </c>
      <c r="I32" s="5">
        <v>5</v>
      </c>
      <c r="J32" s="5">
        <v>8</v>
      </c>
      <c r="K32" s="5">
        <v>6</v>
      </c>
      <c r="L32" s="5">
        <v>5</v>
      </c>
      <c r="M32" s="11">
        <v>3</v>
      </c>
      <c r="N32" s="11">
        <v>7</v>
      </c>
      <c r="O32" s="7">
        <f t="shared" si="16"/>
        <v>39</v>
      </c>
    </row>
    <row r="33" spans="2:15" ht="18" customHeight="1" x14ac:dyDescent="0.15">
      <c r="B33" s="5" t="s">
        <v>1</v>
      </c>
      <c r="C33" s="5">
        <v>1</v>
      </c>
      <c r="D33" s="5">
        <v>3</v>
      </c>
      <c r="E33" s="5">
        <v>1</v>
      </c>
      <c r="F33" s="5">
        <v>3</v>
      </c>
      <c r="G33" s="5">
        <v>1</v>
      </c>
      <c r="H33" s="5">
        <v>3</v>
      </c>
      <c r="I33" s="5">
        <v>3</v>
      </c>
      <c r="J33" s="5">
        <v>0</v>
      </c>
      <c r="K33" s="5">
        <v>1</v>
      </c>
      <c r="L33" s="5">
        <v>1</v>
      </c>
      <c r="M33" s="11">
        <v>3</v>
      </c>
      <c r="N33" s="11">
        <v>0</v>
      </c>
      <c r="O33" s="7">
        <f t="shared" si="16"/>
        <v>20</v>
      </c>
    </row>
    <row r="34" spans="2:15" ht="18" customHeight="1" x14ac:dyDescent="0.15">
      <c r="B34" s="5" t="s">
        <v>28</v>
      </c>
      <c r="C34" s="5"/>
      <c r="D34" s="5"/>
      <c r="E34" s="5"/>
      <c r="F34" s="5"/>
      <c r="G34" s="5"/>
      <c r="H34" s="5"/>
      <c r="I34" s="5"/>
      <c r="J34" s="5">
        <v>202</v>
      </c>
      <c r="K34" s="5">
        <v>228</v>
      </c>
      <c r="L34" s="5">
        <v>148</v>
      </c>
      <c r="M34" s="11">
        <v>149</v>
      </c>
      <c r="N34" s="11">
        <v>163</v>
      </c>
      <c r="O34" s="7">
        <f t="shared" si="16"/>
        <v>890</v>
      </c>
    </row>
    <row r="35" spans="2:15" ht="18" customHeight="1" x14ac:dyDescent="0.15">
      <c r="B35" s="5" t="s">
        <v>0</v>
      </c>
      <c r="C35" s="5">
        <v>13</v>
      </c>
      <c r="D35" s="5">
        <v>18</v>
      </c>
      <c r="E35" s="5">
        <v>7</v>
      </c>
      <c r="F35" s="5">
        <v>21</v>
      </c>
      <c r="G35" s="5">
        <v>20</v>
      </c>
      <c r="H35" s="5">
        <v>21</v>
      </c>
      <c r="I35" s="5">
        <v>17</v>
      </c>
      <c r="J35" s="5">
        <v>14</v>
      </c>
      <c r="K35" s="5">
        <v>27</v>
      </c>
      <c r="L35" s="5">
        <v>17</v>
      </c>
      <c r="M35" s="11">
        <v>14</v>
      </c>
      <c r="N35" s="11">
        <v>7</v>
      </c>
      <c r="O35" s="7">
        <f>SUM(C35:N35)+O26</f>
        <v>2889</v>
      </c>
    </row>
    <row r="36" spans="2:15" ht="18" customHeight="1" x14ac:dyDescent="0.15">
      <c r="C36" s="12"/>
      <c r="D36" s="12"/>
      <c r="E36" s="12"/>
      <c r="F36" s="12"/>
      <c r="G36" s="12"/>
      <c r="H36" s="12"/>
      <c r="L36" s="12"/>
      <c r="M36" s="12"/>
      <c r="N36" s="12"/>
    </row>
    <row r="37" spans="2:15" ht="18" customHeight="1" x14ac:dyDescent="0.15">
      <c r="B37" s="8" t="s">
        <v>29</v>
      </c>
    </row>
    <row r="38" spans="2:15" ht="18" customHeight="1" x14ac:dyDescent="0.15">
      <c r="B38" s="1"/>
      <c r="C38" s="1" t="s">
        <v>12</v>
      </c>
      <c r="D38" s="1" t="s">
        <v>13</v>
      </c>
      <c r="E38" s="1" t="s">
        <v>8</v>
      </c>
      <c r="F38" s="1" t="s">
        <v>14</v>
      </c>
      <c r="G38" s="1" t="s">
        <v>7</v>
      </c>
      <c r="H38" s="1" t="s">
        <v>6</v>
      </c>
      <c r="I38" s="1" t="s">
        <v>5</v>
      </c>
      <c r="J38" s="1" t="s">
        <v>9</v>
      </c>
      <c r="K38" s="1" t="s">
        <v>10</v>
      </c>
      <c r="L38" s="1" t="s">
        <v>11</v>
      </c>
      <c r="M38" s="1" t="s">
        <v>15</v>
      </c>
      <c r="N38" s="1" t="s">
        <v>16</v>
      </c>
      <c r="O38" s="3" t="s">
        <v>4</v>
      </c>
    </row>
    <row r="39" spans="2:15" ht="18" customHeight="1" x14ac:dyDescent="0.15">
      <c r="B39" s="5" t="s">
        <v>3</v>
      </c>
      <c r="C39" s="5">
        <v>48</v>
      </c>
      <c r="D39" s="5">
        <v>40</v>
      </c>
      <c r="E39" s="5">
        <v>48</v>
      </c>
      <c r="F39" s="5">
        <v>41</v>
      </c>
      <c r="G39" s="5">
        <v>41</v>
      </c>
      <c r="H39" s="5">
        <v>29</v>
      </c>
      <c r="I39" s="5">
        <v>44</v>
      </c>
      <c r="J39" s="5">
        <v>32</v>
      </c>
      <c r="K39" s="5">
        <v>47</v>
      </c>
      <c r="L39" s="5">
        <v>53</v>
      </c>
      <c r="M39" s="11">
        <v>57</v>
      </c>
      <c r="N39" s="11">
        <v>42</v>
      </c>
      <c r="O39" s="7">
        <f>SUM(C39:N39)</f>
        <v>522</v>
      </c>
    </row>
    <row r="40" spans="2:15" ht="18" customHeight="1" x14ac:dyDescent="0.15">
      <c r="B40" s="5" t="s">
        <v>2</v>
      </c>
      <c r="C40" s="5">
        <v>4</v>
      </c>
      <c r="D40" s="5">
        <v>6</v>
      </c>
      <c r="E40" s="5">
        <v>6</v>
      </c>
      <c r="F40" s="5">
        <v>1</v>
      </c>
      <c r="G40" s="5">
        <v>2</v>
      </c>
      <c r="H40" s="5">
        <v>0</v>
      </c>
      <c r="I40" s="5">
        <v>2</v>
      </c>
      <c r="J40" s="5">
        <v>2</v>
      </c>
      <c r="K40" s="5">
        <v>6</v>
      </c>
      <c r="L40" s="5">
        <v>3</v>
      </c>
      <c r="M40" s="11">
        <v>2</v>
      </c>
      <c r="N40" s="11">
        <v>0</v>
      </c>
      <c r="O40" s="7">
        <f t="shared" ref="O40:O43" si="17">SUM(C40:N40)</f>
        <v>34</v>
      </c>
    </row>
    <row r="41" spans="2:15" ht="18" customHeight="1" x14ac:dyDescent="0.15">
      <c r="B41" s="5" t="s">
        <v>26</v>
      </c>
      <c r="C41" s="5">
        <v>7</v>
      </c>
      <c r="D41" s="5">
        <v>4</v>
      </c>
      <c r="E41" s="5">
        <v>5</v>
      </c>
      <c r="F41" s="5">
        <v>1</v>
      </c>
      <c r="G41" s="5">
        <v>6</v>
      </c>
      <c r="H41" s="5">
        <v>3</v>
      </c>
      <c r="I41" s="5">
        <v>6</v>
      </c>
      <c r="J41" s="5">
        <v>5</v>
      </c>
      <c r="K41" s="5">
        <v>7</v>
      </c>
      <c r="L41" s="5">
        <v>4</v>
      </c>
      <c r="M41" s="11">
        <v>8</v>
      </c>
      <c r="N41" s="11">
        <v>3</v>
      </c>
      <c r="O41" s="7">
        <f t="shared" si="17"/>
        <v>59</v>
      </c>
    </row>
    <row r="42" spans="2:15" ht="18" customHeight="1" x14ac:dyDescent="0.15">
      <c r="B42" s="5" t="s">
        <v>1</v>
      </c>
      <c r="C42" s="5">
        <v>1</v>
      </c>
      <c r="D42" s="5">
        <v>3</v>
      </c>
      <c r="E42" s="5">
        <v>1</v>
      </c>
      <c r="F42" s="5">
        <v>2</v>
      </c>
      <c r="G42" s="5">
        <v>2</v>
      </c>
      <c r="H42" s="5">
        <v>0</v>
      </c>
      <c r="I42" s="5">
        <v>0</v>
      </c>
      <c r="J42" s="5">
        <v>2</v>
      </c>
      <c r="K42" s="5">
        <v>3</v>
      </c>
      <c r="L42" s="5">
        <v>1</v>
      </c>
      <c r="M42" s="11">
        <v>0</v>
      </c>
      <c r="N42" s="11">
        <v>0</v>
      </c>
      <c r="O42" s="7">
        <f t="shared" si="17"/>
        <v>15</v>
      </c>
    </row>
    <row r="43" spans="2:15" ht="18" customHeight="1" x14ac:dyDescent="0.15">
      <c r="B43" s="5" t="s">
        <v>28</v>
      </c>
      <c r="C43" s="5">
        <v>161</v>
      </c>
      <c r="D43" s="5">
        <v>155</v>
      </c>
      <c r="E43" s="5">
        <v>169</v>
      </c>
      <c r="F43" s="5">
        <v>159</v>
      </c>
      <c r="G43" s="5">
        <v>146</v>
      </c>
      <c r="H43" s="5">
        <v>117</v>
      </c>
      <c r="I43" s="5">
        <v>134</v>
      </c>
      <c r="J43" s="5">
        <v>138</v>
      </c>
      <c r="K43" s="5">
        <v>169</v>
      </c>
      <c r="L43" s="5">
        <v>144</v>
      </c>
      <c r="M43" s="11">
        <v>163</v>
      </c>
      <c r="N43" s="11">
        <v>127</v>
      </c>
      <c r="O43" s="7">
        <f t="shared" si="17"/>
        <v>1782</v>
      </c>
    </row>
    <row r="44" spans="2:15" ht="18" customHeight="1" x14ac:dyDescent="0.15">
      <c r="B44" s="5" t="s">
        <v>0</v>
      </c>
      <c r="C44" s="5">
        <v>19</v>
      </c>
      <c r="D44" s="5">
        <v>14</v>
      </c>
      <c r="E44" s="5">
        <v>10</v>
      </c>
      <c r="F44" s="5">
        <v>30</v>
      </c>
      <c r="G44" s="5">
        <v>13</v>
      </c>
      <c r="H44" s="5">
        <v>8</v>
      </c>
      <c r="I44" s="5">
        <v>13</v>
      </c>
      <c r="J44" s="5">
        <v>11</v>
      </c>
      <c r="K44" s="5">
        <v>32</v>
      </c>
      <c r="L44" s="5">
        <v>9</v>
      </c>
      <c r="M44" s="11">
        <v>9</v>
      </c>
      <c r="N44" s="11">
        <v>12</v>
      </c>
      <c r="O44" s="7">
        <f>SUM(C44:N44)+O35</f>
        <v>3069</v>
      </c>
    </row>
    <row r="45" spans="2:15" ht="18" customHeight="1" x14ac:dyDescent="0.15">
      <c r="C45" s="12"/>
      <c r="D45" s="12"/>
      <c r="E45" s="12"/>
      <c r="F45" s="12"/>
      <c r="G45" s="12"/>
      <c r="H45" s="12"/>
      <c r="L45" s="12"/>
      <c r="M45" s="12"/>
      <c r="N45" s="12"/>
    </row>
    <row r="46" spans="2:15" ht="18" customHeight="1" x14ac:dyDescent="0.15">
      <c r="B46" s="8" t="s">
        <v>30</v>
      </c>
    </row>
    <row r="47" spans="2:15" ht="18" customHeight="1" x14ac:dyDescent="0.15">
      <c r="B47" s="1"/>
      <c r="C47" s="1" t="s">
        <v>12</v>
      </c>
      <c r="D47" s="1" t="s">
        <v>13</v>
      </c>
      <c r="E47" s="1" t="s">
        <v>8</v>
      </c>
      <c r="F47" s="1" t="s">
        <v>14</v>
      </c>
      <c r="G47" s="1" t="s">
        <v>7</v>
      </c>
      <c r="H47" s="1" t="s">
        <v>6</v>
      </c>
      <c r="I47" s="1" t="s">
        <v>5</v>
      </c>
      <c r="J47" s="1" t="s">
        <v>9</v>
      </c>
      <c r="K47" s="1" t="s">
        <v>10</v>
      </c>
      <c r="L47" s="1" t="s">
        <v>11</v>
      </c>
      <c r="M47" s="1" t="s">
        <v>15</v>
      </c>
      <c r="N47" s="1" t="s">
        <v>16</v>
      </c>
      <c r="O47" s="3" t="s">
        <v>4</v>
      </c>
    </row>
    <row r="48" spans="2:15" ht="18" customHeight="1" x14ac:dyDescent="0.15">
      <c r="B48" s="5" t="s">
        <v>3</v>
      </c>
      <c r="C48" s="5">
        <v>49</v>
      </c>
      <c r="D48" s="5">
        <v>39</v>
      </c>
      <c r="E48" s="5">
        <v>39</v>
      </c>
      <c r="F48" s="5">
        <v>47</v>
      </c>
      <c r="G48" s="5">
        <v>30</v>
      </c>
      <c r="H48" s="5">
        <v>30</v>
      </c>
      <c r="I48" s="5">
        <v>28</v>
      </c>
      <c r="J48" s="5"/>
      <c r="K48" s="5"/>
      <c r="L48" s="5"/>
      <c r="M48" s="11"/>
      <c r="N48" s="11"/>
      <c r="O48" s="7">
        <f>SUM(C48:N48)</f>
        <v>262</v>
      </c>
    </row>
    <row r="49" spans="2:15" ht="18" customHeight="1" x14ac:dyDescent="0.15">
      <c r="B49" s="5" t="s">
        <v>2</v>
      </c>
      <c r="C49" s="5">
        <v>9</v>
      </c>
      <c r="D49" s="5">
        <v>2</v>
      </c>
      <c r="E49" s="5">
        <v>2</v>
      </c>
      <c r="F49" s="5">
        <v>4</v>
      </c>
      <c r="G49" s="5">
        <v>4</v>
      </c>
      <c r="H49" s="5">
        <v>4</v>
      </c>
      <c r="I49" s="5">
        <v>1</v>
      </c>
      <c r="J49" s="5"/>
      <c r="K49" s="5"/>
      <c r="L49" s="5"/>
      <c r="M49" s="11"/>
      <c r="N49" s="11"/>
      <c r="O49" s="7">
        <f t="shared" ref="O49:O52" si="18">SUM(C49:N49)</f>
        <v>26</v>
      </c>
    </row>
    <row r="50" spans="2:15" ht="18" customHeight="1" x14ac:dyDescent="0.15">
      <c r="B50" s="5" t="s">
        <v>26</v>
      </c>
      <c r="C50" s="5">
        <v>4</v>
      </c>
      <c r="D50" s="5">
        <v>10</v>
      </c>
      <c r="E50" s="5">
        <v>4</v>
      </c>
      <c r="F50" s="5">
        <v>5</v>
      </c>
      <c r="G50" s="5">
        <v>4</v>
      </c>
      <c r="H50" s="5">
        <v>5</v>
      </c>
      <c r="I50" s="5">
        <v>3</v>
      </c>
      <c r="J50" s="5"/>
      <c r="K50" s="5"/>
      <c r="L50" s="5"/>
      <c r="M50" s="11"/>
      <c r="N50" s="11"/>
      <c r="O50" s="7">
        <f t="shared" si="18"/>
        <v>35</v>
      </c>
    </row>
    <row r="51" spans="2:15" ht="18" customHeight="1" x14ac:dyDescent="0.15">
      <c r="B51" s="5" t="s">
        <v>1</v>
      </c>
      <c r="C51" s="5">
        <v>0</v>
      </c>
      <c r="D51" s="5">
        <v>0</v>
      </c>
      <c r="E51" s="5">
        <v>2</v>
      </c>
      <c r="F51" s="5">
        <v>1</v>
      </c>
      <c r="G51" s="5">
        <v>0</v>
      </c>
      <c r="H51" s="5">
        <v>0</v>
      </c>
      <c r="I51" s="5">
        <v>0</v>
      </c>
      <c r="J51" s="5"/>
      <c r="K51" s="5"/>
      <c r="L51" s="5"/>
      <c r="M51" s="11"/>
      <c r="N51" s="11"/>
      <c r="O51" s="7">
        <f t="shared" si="18"/>
        <v>3</v>
      </c>
    </row>
    <row r="52" spans="2:15" ht="18" customHeight="1" x14ac:dyDescent="0.15">
      <c r="B52" s="5" t="s">
        <v>28</v>
      </c>
      <c r="C52" s="5">
        <v>128</v>
      </c>
      <c r="D52" s="5">
        <v>95</v>
      </c>
      <c r="E52" s="5">
        <v>115</v>
      </c>
      <c r="F52" s="5">
        <v>123</v>
      </c>
      <c r="G52" s="5">
        <v>97</v>
      </c>
      <c r="H52" s="5">
        <v>73</v>
      </c>
      <c r="I52" s="5">
        <v>80</v>
      </c>
      <c r="J52" s="5"/>
      <c r="K52" s="5"/>
      <c r="L52" s="5"/>
      <c r="M52" s="11"/>
      <c r="N52" s="11"/>
      <c r="O52" s="7">
        <f t="shared" si="18"/>
        <v>711</v>
      </c>
    </row>
    <row r="53" spans="2:15" ht="18" customHeight="1" x14ac:dyDescent="0.15">
      <c r="B53" s="5" t="s">
        <v>0</v>
      </c>
      <c r="C53" s="5">
        <v>11</v>
      </c>
      <c r="D53" s="5">
        <v>10</v>
      </c>
      <c r="E53" s="5">
        <v>15</v>
      </c>
      <c r="F53" s="5">
        <v>11</v>
      </c>
      <c r="G53" s="5">
        <v>8</v>
      </c>
      <c r="H53" s="5">
        <v>7</v>
      </c>
      <c r="I53" s="5">
        <v>8</v>
      </c>
      <c r="J53" s="5"/>
      <c r="K53" s="5"/>
      <c r="L53" s="5"/>
      <c r="M53" s="11"/>
      <c r="N53" s="11"/>
      <c r="O53" s="7">
        <f>SUM(C53:N53)+O44</f>
        <v>3139</v>
      </c>
    </row>
    <row r="54" spans="2:15" ht="18" customHeight="1" x14ac:dyDescent="0.15">
      <c r="C54" s="12"/>
      <c r="D54" s="12"/>
      <c r="E54" s="12"/>
      <c r="F54" s="12"/>
      <c r="G54" s="12"/>
      <c r="H54" s="12"/>
      <c r="I54" s="8" t="s">
        <v>31</v>
      </c>
      <c r="L54" s="12"/>
      <c r="M54" s="12"/>
    </row>
  </sheetData>
  <phoneticPr fontId="2"/>
  <printOptions horizontalCentered="1" verticalCentered="1"/>
  <pageMargins left="0.11811023622047245" right="0.11811023622047245" top="0.74803149606299213" bottom="0.15748031496062992" header="0.31496062992125984" footer="0.11811023622047245"/>
  <pageSetup paperSize="9" scale="77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Y36"/>
  <sheetViews>
    <sheetView topLeftCell="A41" zoomScaleNormal="100" workbookViewId="0">
      <selection activeCell="T26" sqref="T26"/>
    </sheetView>
  </sheetViews>
  <sheetFormatPr defaultColWidth="12" defaultRowHeight="15.75" x14ac:dyDescent="0.15"/>
  <cols>
    <col min="1" max="1" width="12" style="8"/>
    <col min="2" max="2" width="13.5" style="8" customWidth="1"/>
    <col min="3" max="17" width="12" style="8"/>
    <col min="18" max="51" width="9.375" style="8" customWidth="1"/>
    <col min="52" max="16384" width="12" style="8"/>
  </cols>
  <sheetData>
    <row r="1" spans="2:51" s="4" customFormat="1" x14ac:dyDescent="0.15">
      <c r="B1" s="1"/>
      <c r="C1" s="1" t="s">
        <v>21</v>
      </c>
      <c r="D1" s="1" t="s">
        <v>13</v>
      </c>
      <c r="E1" s="1" t="s">
        <v>8</v>
      </c>
      <c r="F1" s="1" t="s">
        <v>20</v>
      </c>
      <c r="G1" s="1" t="s">
        <v>7</v>
      </c>
      <c r="H1" s="1" t="s">
        <v>6</v>
      </c>
      <c r="I1" s="1" t="s">
        <v>5</v>
      </c>
      <c r="J1" s="1" t="s">
        <v>9</v>
      </c>
      <c r="K1" s="1" t="s">
        <v>10</v>
      </c>
      <c r="L1" s="1" t="s">
        <v>11</v>
      </c>
      <c r="M1" s="1" t="s">
        <v>15</v>
      </c>
      <c r="N1" s="2" t="s">
        <v>16</v>
      </c>
      <c r="O1" s="2" t="s">
        <v>12</v>
      </c>
      <c r="P1" s="2" t="s">
        <v>13</v>
      </c>
      <c r="Q1" s="2" t="s">
        <v>8</v>
      </c>
      <c r="R1" s="2" t="s">
        <v>19</v>
      </c>
      <c r="S1" s="2" t="s">
        <v>7</v>
      </c>
      <c r="T1" s="2" t="s">
        <v>6</v>
      </c>
      <c r="U1" s="2" t="s">
        <v>5</v>
      </c>
      <c r="V1" s="2" t="s">
        <v>9</v>
      </c>
      <c r="W1" s="2" t="s">
        <v>10</v>
      </c>
      <c r="X1" s="2" t="s">
        <v>11</v>
      </c>
      <c r="Y1" s="2" t="s">
        <v>15</v>
      </c>
      <c r="Z1" s="2" t="s">
        <v>16</v>
      </c>
      <c r="AA1" s="2" t="s">
        <v>12</v>
      </c>
      <c r="AB1" s="2" t="s">
        <v>13</v>
      </c>
      <c r="AC1" s="2" t="s">
        <v>8</v>
      </c>
      <c r="AD1" s="2" t="s">
        <v>22</v>
      </c>
      <c r="AE1" s="2" t="s">
        <v>7</v>
      </c>
      <c r="AF1" s="2" t="s">
        <v>6</v>
      </c>
      <c r="AG1" s="2" t="s">
        <v>5</v>
      </c>
      <c r="AH1" s="2" t="s">
        <v>9</v>
      </c>
      <c r="AI1" s="2" t="s">
        <v>10</v>
      </c>
      <c r="AJ1" s="2" t="s">
        <v>11</v>
      </c>
      <c r="AK1" s="2" t="s">
        <v>15</v>
      </c>
      <c r="AL1" s="2" t="s">
        <v>16</v>
      </c>
      <c r="AM1" s="2" t="s">
        <v>12</v>
      </c>
      <c r="AN1" s="2" t="s">
        <v>13</v>
      </c>
      <c r="AO1" s="2" t="s">
        <v>8</v>
      </c>
      <c r="AP1" s="2" t="s">
        <v>25</v>
      </c>
      <c r="AQ1" s="2" t="s">
        <v>7</v>
      </c>
      <c r="AR1" s="2" t="s">
        <v>6</v>
      </c>
      <c r="AS1" s="2" t="s">
        <v>5</v>
      </c>
      <c r="AT1" s="2" t="s">
        <v>9</v>
      </c>
      <c r="AU1" s="2" t="s">
        <v>10</v>
      </c>
      <c r="AV1" s="2" t="s">
        <v>11</v>
      </c>
      <c r="AW1" s="2" t="s">
        <v>15</v>
      </c>
      <c r="AX1" s="2" t="s">
        <v>16</v>
      </c>
      <c r="AY1" s="3" t="s">
        <v>4</v>
      </c>
    </row>
    <row r="2" spans="2:51" x14ac:dyDescent="0.15">
      <c r="B2" s="5" t="s">
        <v>3</v>
      </c>
      <c r="C2" s="5">
        <f>C9</f>
        <v>4</v>
      </c>
      <c r="D2" s="5">
        <f t="shared" ref="D2:N2" si="0">D9</f>
        <v>130</v>
      </c>
      <c r="E2" s="5">
        <f t="shared" si="0"/>
        <v>102</v>
      </c>
      <c r="F2" s="5">
        <f t="shared" si="0"/>
        <v>132</v>
      </c>
      <c r="G2" s="5">
        <f t="shared" si="0"/>
        <v>160</v>
      </c>
      <c r="H2" s="5">
        <f t="shared" si="0"/>
        <v>146</v>
      </c>
      <c r="I2" s="5">
        <f t="shared" si="0"/>
        <v>148</v>
      </c>
      <c r="J2" s="5">
        <f t="shared" si="0"/>
        <v>174</v>
      </c>
      <c r="K2" s="5">
        <f t="shared" si="0"/>
        <v>129</v>
      </c>
      <c r="L2" s="5">
        <f t="shared" si="0"/>
        <v>143</v>
      </c>
      <c r="M2" s="5">
        <f t="shared" si="0"/>
        <v>151</v>
      </c>
      <c r="N2" s="5">
        <f t="shared" si="0"/>
        <v>111</v>
      </c>
      <c r="O2" s="5">
        <f>C16</f>
        <v>119</v>
      </c>
      <c r="P2" s="5">
        <f t="shared" ref="P2:S5" si="1">D16</f>
        <v>164</v>
      </c>
      <c r="Q2" s="5">
        <f t="shared" si="1"/>
        <v>157</v>
      </c>
      <c r="R2" s="5">
        <f t="shared" si="1"/>
        <v>191</v>
      </c>
      <c r="S2" s="5">
        <f t="shared" si="1"/>
        <v>130</v>
      </c>
      <c r="T2" s="5">
        <f>H16</f>
        <v>99</v>
      </c>
      <c r="U2" s="5">
        <f t="shared" ref="U2:Z5" si="2">I16</f>
        <v>190</v>
      </c>
      <c r="V2" s="5">
        <f t="shared" si="2"/>
        <v>195</v>
      </c>
      <c r="W2" s="5">
        <f t="shared" si="2"/>
        <v>156</v>
      </c>
      <c r="X2" s="5">
        <f t="shared" si="2"/>
        <v>129</v>
      </c>
      <c r="Y2" s="5">
        <f t="shared" si="2"/>
        <v>135</v>
      </c>
      <c r="Z2" s="5">
        <f t="shared" si="2"/>
        <v>135</v>
      </c>
      <c r="AA2" s="6">
        <f>C23</f>
        <v>98</v>
      </c>
      <c r="AB2" s="6">
        <f t="shared" ref="AB2:AL5" si="3">D23</f>
        <v>123</v>
      </c>
      <c r="AC2" s="6">
        <f t="shared" si="3"/>
        <v>131</v>
      </c>
      <c r="AD2" s="6">
        <f t="shared" si="3"/>
        <v>139</v>
      </c>
      <c r="AE2" s="6">
        <f t="shared" si="3"/>
        <v>145</v>
      </c>
      <c r="AF2" s="6">
        <f t="shared" si="3"/>
        <v>116</v>
      </c>
      <c r="AG2" s="6">
        <f t="shared" si="3"/>
        <v>120</v>
      </c>
      <c r="AH2" s="6">
        <f t="shared" si="3"/>
        <v>141</v>
      </c>
      <c r="AI2" s="6">
        <f t="shared" si="3"/>
        <v>121</v>
      </c>
      <c r="AJ2" s="6">
        <f t="shared" si="3"/>
        <v>134</v>
      </c>
      <c r="AK2" s="6">
        <f t="shared" si="3"/>
        <v>117</v>
      </c>
      <c r="AL2" s="6">
        <f t="shared" si="3"/>
        <v>54</v>
      </c>
      <c r="AM2" s="6">
        <f>C30</f>
        <v>72</v>
      </c>
      <c r="AN2" s="6">
        <f t="shared" ref="AN2:AX3" si="4">D30</f>
        <v>65</v>
      </c>
      <c r="AO2" s="6">
        <f t="shared" si="4"/>
        <v>57</v>
      </c>
      <c r="AP2" s="6">
        <f t="shared" si="4"/>
        <v>59</v>
      </c>
      <c r="AQ2" s="6">
        <f t="shared" si="4"/>
        <v>71</v>
      </c>
      <c r="AR2" s="6">
        <f t="shared" si="4"/>
        <v>31</v>
      </c>
      <c r="AS2" s="6">
        <f t="shared" si="4"/>
        <v>48</v>
      </c>
      <c r="AT2" s="6">
        <f t="shared" si="4"/>
        <v>55</v>
      </c>
      <c r="AU2" s="6">
        <f t="shared" si="4"/>
        <v>62</v>
      </c>
      <c r="AV2" s="6">
        <f t="shared" si="4"/>
        <v>0</v>
      </c>
      <c r="AW2" s="6">
        <f t="shared" si="4"/>
        <v>0</v>
      </c>
      <c r="AX2" s="6">
        <f t="shared" si="4"/>
        <v>0</v>
      </c>
      <c r="AY2" s="7">
        <f>SUM(C2:O2)</f>
        <v>1649</v>
      </c>
    </row>
    <row r="3" spans="2:51" x14ac:dyDescent="0.15">
      <c r="B3" s="5" t="s">
        <v>2</v>
      </c>
      <c r="C3" s="5">
        <f t="shared" ref="C3:N5" si="5">C10</f>
        <v>5</v>
      </c>
      <c r="D3" s="5">
        <f t="shared" si="5"/>
        <v>69</v>
      </c>
      <c r="E3" s="5">
        <f t="shared" si="5"/>
        <v>29</v>
      </c>
      <c r="F3" s="5">
        <f t="shared" si="5"/>
        <v>56</v>
      </c>
      <c r="G3" s="5">
        <f t="shared" si="5"/>
        <v>55</v>
      </c>
      <c r="H3" s="5">
        <f t="shared" si="5"/>
        <v>33</v>
      </c>
      <c r="I3" s="5">
        <f t="shared" si="5"/>
        <v>44</v>
      </c>
      <c r="J3" s="5">
        <f t="shared" si="5"/>
        <v>39</v>
      </c>
      <c r="K3" s="5">
        <f t="shared" si="5"/>
        <v>42</v>
      </c>
      <c r="L3" s="5">
        <f t="shared" si="5"/>
        <v>36</v>
      </c>
      <c r="M3" s="5">
        <f t="shared" si="5"/>
        <v>35</v>
      </c>
      <c r="N3" s="5">
        <f t="shared" si="5"/>
        <v>11</v>
      </c>
      <c r="O3" s="5">
        <f t="shared" ref="O3:O5" si="6">C17</f>
        <v>22</v>
      </c>
      <c r="P3" s="5">
        <f t="shared" si="1"/>
        <v>39</v>
      </c>
      <c r="Q3" s="5">
        <f t="shared" si="1"/>
        <v>20</v>
      </c>
      <c r="R3" s="5">
        <f t="shared" si="1"/>
        <v>44</v>
      </c>
      <c r="S3" s="5">
        <f t="shared" si="1"/>
        <v>20</v>
      </c>
      <c r="T3" s="5">
        <f>H17</f>
        <v>19</v>
      </c>
      <c r="U3" s="5">
        <f t="shared" si="2"/>
        <v>18</v>
      </c>
      <c r="V3" s="5">
        <f t="shared" si="2"/>
        <v>35</v>
      </c>
      <c r="W3" s="5">
        <f t="shared" si="2"/>
        <v>35</v>
      </c>
      <c r="X3" s="5">
        <f t="shared" si="2"/>
        <v>19</v>
      </c>
      <c r="Y3" s="5">
        <f t="shared" si="2"/>
        <v>22</v>
      </c>
      <c r="Z3" s="5">
        <f t="shared" si="2"/>
        <v>26</v>
      </c>
      <c r="AA3" s="6">
        <f t="shared" ref="AA3:AA5" si="7">C24</f>
        <v>12</v>
      </c>
      <c r="AB3" s="6">
        <f t="shared" si="3"/>
        <v>23</v>
      </c>
      <c r="AC3" s="6">
        <f t="shared" si="3"/>
        <v>24</v>
      </c>
      <c r="AD3" s="6">
        <f t="shared" si="3"/>
        <v>32</v>
      </c>
      <c r="AE3" s="6">
        <f t="shared" si="3"/>
        <v>40</v>
      </c>
      <c r="AF3" s="6">
        <f t="shared" si="3"/>
        <v>29</v>
      </c>
      <c r="AG3" s="6">
        <f t="shared" si="3"/>
        <v>12</v>
      </c>
      <c r="AH3" s="6">
        <f t="shared" si="3"/>
        <v>25</v>
      </c>
      <c r="AI3" s="6">
        <f t="shared" si="3"/>
        <v>25</v>
      </c>
      <c r="AJ3" s="6">
        <f t="shared" si="3"/>
        <v>21</v>
      </c>
      <c r="AK3" s="6">
        <f t="shared" si="3"/>
        <v>15</v>
      </c>
      <c r="AL3" s="6">
        <f t="shared" si="3"/>
        <v>7</v>
      </c>
      <c r="AM3" s="6">
        <f t="shared" ref="AM3" si="8">C31</f>
        <v>5</v>
      </c>
      <c r="AN3" s="6">
        <f t="shared" si="4"/>
        <v>7</v>
      </c>
      <c r="AO3" s="6">
        <f t="shared" si="4"/>
        <v>4</v>
      </c>
      <c r="AP3" s="6">
        <f t="shared" si="4"/>
        <v>3</v>
      </c>
      <c r="AQ3" s="6">
        <f t="shared" si="4"/>
        <v>4</v>
      </c>
      <c r="AR3" s="6">
        <f t="shared" si="4"/>
        <v>2</v>
      </c>
      <c r="AS3" s="6">
        <f t="shared" si="4"/>
        <v>5</v>
      </c>
      <c r="AT3" s="6">
        <f t="shared" si="4"/>
        <v>6</v>
      </c>
      <c r="AU3" s="6">
        <f t="shared" si="4"/>
        <v>7</v>
      </c>
      <c r="AV3" s="6">
        <f t="shared" si="4"/>
        <v>0</v>
      </c>
      <c r="AW3" s="6">
        <f t="shared" si="4"/>
        <v>0</v>
      </c>
      <c r="AX3" s="6">
        <f t="shared" si="4"/>
        <v>0</v>
      </c>
      <c r="AY3" s="7">
        <f>SUM(C3:N3)</f>
        <v>454</v>
      </c>
    </row>
    <row r="4" spans="2:51" x14ac:dyDescent="0.15">
      <c r="B4" s="5" t="s">
        <v>1</v>
      </c>
      <c r="C4" s="5">
        <f t="shared" si="5"/>
        <v>1</v>
      </c>
      <c r="D4" s="5">
        <f t="shared" si="5"/>
        <v>10</v>
      </c>
      <c r="E4" s="5">
        <f t="shared" si="5"/>
        <v>2</v>
      </c>
      <c r="F4" s="5">
        <f t="shared" si="5"/>
        <v>5</v>
      </c>
      <c r="G4" s="5">
        <f t="shared" si="5"/>
        <v>13</v>
      </c>
      <c r="H4" s="5">
        <f t="shared" si="5"/>
        <v>9</v>
      </c>
      <c r="I4" s="5">
        <f t="shared" si="5"/>
        <v>18</v>
      </c>
      <c r="J4" s="5">
        <f t="shared" si="5"/>
        <v>15</v>
      </c>
      <c r="K4" s="5">
        <f t="shared" si="5"/>
        <v>12</v>
      </c>
      <c r="L4" s="5">
        <f t="shared" si="5"/>
        <v>6</v>
      </c>
      <c r="M4" s="5">
        <f t="shared" si="5"/>
        <v>2</v>
      </c>
      <c r="N4" s="5">
        <f t="shared" si="5"/>
        <v>3</v>
      </c>
      <c r="O4" s="5">
        <f t="shared" si="6"/>
        <v>4</v>
      </c>
      <c r="P4" s="5">
        <f t="shared" si="1"/>
        <v>6</v>
      </c>
      <c r="Q4" s="5">
        <f t="shared" si="1"/>
        <v>7</v>
      </c>
      <c r="R4" s="5">
        <f t="shared" si="1"/>
        <v>5</v>
      </c>
      <c r="S4" s="5">
        <f t="shared" si="1"/>
        <v>6</v>
      </c>
      <c r="T4" s="5">
        <f>H18</f>
        <v>1</v>
      </c>
      <c r="U4" s="5">
        <f t="shared" si="2"/>
        <v>0</v>
      </c>
      <c r="V4" s="5">
        <f t="shared" si="2"/>
        <v>3</v>
      </c>
      <c r="W4" s="5">
        <f t="shared" si="2"/>
        <v>5</v>
      </c>
      <c r="X4" s="5">
        <f t="shared" si="2"/>
        <v>2</v>
      </c>
      <c r="Y4" s="5">
        <f t="shared" si="2"/>
        <v>3</v>
      </c>
      <c r="Z4" s="5">
        <f t="shared" si="2"/>
        <v>3</v>
      </c>
      <c r="AA4" s="6">
        <f t="shared" si="7"/>
        <v>1</v>
      </c>
      <c r="AB4" s="6">
        <f t="shared" si="3"/>
        <v>7</v>
      </c>
      <c r="AC4" s="6">
        <f t="shared" si="3"/>
        <v>4</v>
      </c>
      <c r="AD4" s="6">
        <f t="shared" si="3"/>
        <v>7</v>
      </c>
      <c r="AE4" s="6">
        <f t="shared" si="3"/>
        <v>5</v>
      </c>
      <c r="AF4" s="6">
        <f t="shared" si="3"/>
        <v>3</v>
      </c>
      <c r="AG4" s="6">
        <f t="shared" si="3"/>
        <v>6</v>
      </c>
      <c r="AH4" s="6">
        <f t="shared" si="3"/>
        <v>4</v>
      </c>
      <c r="AI4" s="6">
        <f t="shared" si="3"/>
        <v>1</v>
      </c>
      <c r="AJ4" s="6">
        <f t="shared" si="3"/>
        <v>0</v>
      </c>
      <c r="AK4" s="6">
        <f t="shared" si="3"/>
        <v>1</v>
      </c>
      <c r="AL4" s="6">
        <f t="shared" si="3"/>
        <v>2</v>
      </c>
      <c r="AM4" s="6">
        <f t="shared" ref="AM4:AX5" si="9">C33</f>
        <v>1</v>
      </c>
      <c r="AN4" s="6">
        <f t="shared" si="9"/>
        <v>3</v>
      </c>
      <c r="AO4" s="6">
        <f t="shared" si="9"/>
        <v>1</v>
      </c>
      <c r="AP4" s="6">
        <f t="shared" si="9"/>
        <v>3</v>
      </c>
      <c r="AQ4" s="6">
        <f t="shared" si="9"/>
        <v>1</v>
      </c>
      <c r="AR4" s="6">
        <f t="shared" si="9"/>
        <v>3</v>
      </c>
      <c r="AS4" s="6">
        <f t="shared" si="9"/>
        <v>3</v>
      </c>
      <c r="AT4" s="6">
        <f t="shared" si="9"/>
        <v>0</v>
      </c>
      <c r="AU4" s="6">
        <f t="shared" si="9"/>
        <v>1</v>
      </c>
      <c r="AV4" s="6">
        <f t="shared" si="9"/>
        <v>0</v>
      </c>
      <c r="AW4" s="6">
        <f t="shared" si="9"/>
        <v>0</v>
      </c>
      <c r="AX4" s="6">
        <f t="shared" si="9"/>
        <v>0</v>
      </c>
      <c r="AY4" s="7">
        <f>SUM(C4:N4)</f>
        <v>96</v>
      </c>
    </row>
    <row r="5" spans="2:51" x14ac:dyDescent="0.15">
      <c r="B5" s="5" t="s">
        <v>0</v>
      </c>
      <c r="C5" s="5">
        <f t="shared" si="5"/>
        <v>90</v>
      </c>
      <c r="D5" s="5">
        <f t="shared" si="5"/>
        <v>222</v>
      </c>
      <c r="E5" s="5">
        <f t="shared" si="5"/>
        <v>109</v>
      </c>
      <c r="F5" s="5">
        <f t="shared" si="5"/>
        <v>149</v>
      </c>
      <c r="G5" s="5">
        <f t="shared" si="5"/>
        <v>148</v>
      </c>
      <c r="H5" s="5">
        <f t="shared" si="5"/>
        <v>107</v>
      </c>
      <c r="I5" s="5">
        <f t="shared" si="5"/>
        <v>92</v>
      </c>
      <c r="J5" s="5">
        <f t="shared" si="5"/>
        <v>109</v>
      </c>
      <c r="K5" s="5">
        <f t="shared" si="5"/>
        <v>87</v>
      </c>
      <c r="L5" s="5">
        <f t="shared" si="5"/>
        <v>79</v>
      </c>
      <c r="M5" s="5">
        <f t="shared" si="5"/>
        <v>74</v>
      </c>
      <c r="N5" s="5">
        <f t="shared" si="5"/>
        <v>48</v>
      </c>
      <c r="O5" s="5">
        <f t="shared" si="6"/>
        <v>54</v>
      </c>
      <c r="P5" s="5">
        <f t="shared" si="1"/>
        <v>77</v>
      </c>
      <c r="Q5" s="5">
        <f t="shared" si="1"/>
        <v>46</v>
      </c>
      <c r="R5" s="5">
        <f t="shared" si="1"/>
        <v>108</v>
      </c>
      <c r="S5" s="5">
        <f t="shared" si="1"/>
        <v>61</v>
      </c>
      <c r="T5" s="5">
        <f>H19</f>
        <v>37</v>
      </c>
      <c r="U5" s="5">
        <f t="shared" si="2"/>
        <v>48</v>
      </c>
      <c r="V5" s="5">
        <f t="shared" si="2"/>
        <v>61</v>
      </c>
      <c r="W5" s="5">
        <f t="shared" si="2"/>
        <v>76</v>
      </c>
      <c r="X5" s="5">
        <f t="shared" si="2"/>
        <v>41</v>
      </c>
      <c r="Y5" s="5">
        <f t="shared" si="2"/>
        <v>53</v>
      </c>
      <c r="Z5" s="5">
        <f t="shared" si="2"/>
        <v>54</v>
      </c>
      <c r="AA5" s="6">
        <f t="shared" si="7"/>
        <v>53</v>
      </c>
      <c r="AB5" s="6">
        <f t="shared" si="3"/>
        <v>60</v>
      </c>
      <c r="AC5" s="6">
        <f t="shared" si="3"/>
        <v>60</v>
      </c>
      <c r="AD5" s="6">
        <f t="shared" si="3"/>
        <v>70</v>
      </c>
      <c r="AE5" s="6">
        <f t="shared" si="3"/>
        <v>70</v>
      </c>
      <c r="AF5" s="6">
        <f t="shared" si="3"/>
        <v>47</v>
      </c>
      <c r="AG5" s="6">
        <f t="shared" si="3"/>
        <v>47</v>
      </c>
      <c r="AH5" s="6">
        <f t="shared" si="3"/>
        <v>70</v>
      </c>
      <c r="AI5" s="6">
        <f t="shared" si="3"/>
        <v>41</v>
      </c>
      <c r="AJ5" s="6">
        <f t="shared" si="3"/>
        <v>74</v>
      </c>
      <c r="AK5" s="6">
        <f t="shared" si="3"/>
        <v>52</v>
      </c>
      <c r="AL5" s="6">
        <f t="shared" si="3"/>
        <v>19</v>
      </c>
      <c r="AM5" s="6">
        <f t="shared" si="9"/>
        <v>13</v>
      </c>
      <c r="AN5" s="6">
        <f t="shared" si="9"/>
        <v>18</v>
      </c>
      <c r="AO5" s="6">
        <f t="shared" si="9"/>
        <v>7</v>
      </c>
      <c r="AP5" s="6">
        <f t="shared" si="9"/>
        <v>21</v>
      </c>
      <c r="AQ5" s="6">
        <f t="shared" si="9"/>
        <v>20</v>
      </c>
      <c r="AR5" s="6">
        <f t="shared" si="9"/>
        <v>21</v>
      </c>
      <c r="AS5" s="6">
        <f t="shared" si="9"/>
        <v>17</v>
      </c>
      <c r="AT5" s="6">
        <f t="shared" si="9"/>
        <v>14</v>
      </c>
      <c r="AU5" s="6">
        <f t="shared" si="9"/>
        <v>27</v>
      </c>
      <c r="AV5" s="6">
        <f t="shared" si="9"/>
        <v>0</v>
      </c>
      <c r="AW5" s="6">
        <f t="shared" si="9"/>
        <v>0</v>
      </c>
      <c r="AX5" s="6">
        <f t="shared" si="9"/>
        <v>0</v>
      </c>
      <c r="AY5" s="7">
        <f>SUM(C5:N5)</f>
        <v>1314</v>
      </c>
    </row>
    <row r="6" spans="2:51" s="9" customFormat="1" ht="12" customHeight="1" x14ac:dyDescent="0.15">
      <c r="E6" s="10"/>
    </row>
    <row r="7" spans="2:51" x14ac:dyDescent="0.15">
      <c r="B7" s="8" t="s">
        <v>17</v>
      </c>
    </row>
    <row r="8" spans="2:51" x14ac:dyDescent="0.15">
      <c r="B8" s="1"/>
      <c r="C8" s="1" t="s">
        <v>12</v>
      </c>
      <c r="D8" s="1" t="s">
        <v>13</v>
      </c>
      <c r="E8" s="1" t="s">
        <v>8</v>
      </c>
      <c r="F8" s="1" t="s">
        <v>14</v>
      </c>
      <c r="G8" s="1" t="s">
        <v>7</v>
      </c>
      <c r="H8" s="1" t="s">
        <v>6</v>
      </c>
      <c r="I8" s="1" t="s">
        <v>5</v>
      </c>
      <c r="J8" s="1" t="s">
        <v>9</v>
      </c>
      <c r="K8" s="1" t="s">
        <v>10</v>
      </c>
      <c r="L8" s="1" t="s">
        <v>11</v>
      </c>
      <c r="M8" s="1" t="s">
        <v>15</v>
      </c>
      <c r="N8" s="1" t="s">
        <v>16</v>
      </c>
      <c r="O8" s="3" t="s">
        <v>4</v>
      </c>
    </row>
    <row r="9" spans="2:51" x14ac:dyDescent="0.15">
      <c r="B9" s="5" t="s">
        <v>3</v>
      </c>
      <c r="C9" s="5">
        <v>4</v>
      </c>
      <c r="D9" s="5">
        <v>130</v>
      </c>
      <c r="E9" s="5">
        <v>102</v>
      </c>
      <c r="F9" s="5">
        <v>132</v>
      </c>
      <c r="G9" s="5">
        <v>160</v>
      </c>
      <c r="H9" s="5">
        <v>146</v>
      </c>
      <c r="I9" s="5">
        <v>148</v>
      </c>
      <c r="J9" s="5">
        <v>174</v>
      </c>
      <c r="K9" s="5">
        <v>129</v>
      </c>
      <c r="L9" s="5">
        <v>143</v>
      </c>
      <c r="M9" s="11">
        <v>151</v>
      </c>
      <c r="N9" s="11">
        <v>111</v>
      </c>
      <c r="O9" s="7">
        <f>SUM(C9:N9)</f>
        <v>1530</v>
      </c>
    </row>
    <row r="10" spans="2:51" x14ac:dyDescent="0.15">
      <c r="B10" s="5" t="s">
        <v>2</v>
      </c>
      <c r="C10" s="5">
        <v>5</v>
      </c>
      <c r="D10" s="5">
        <v>69</v>
      </c>
      <c r="E10" s="5">
        <v>29</v>
      </c>
      <c r="F10" s="5">
        <v>56</v>
      </c>
      <c r="G10" s="5">
        <v>55</v>
      </c>
      <c r="H10" s="5">
        <v>33</v>
      </c>
      <c r="I10" s="5">
        <v>44</v>
      </c>
      <c r="J10" s="5">
        <v>39</v>
      </c>
      <c r="K10" s="5">
        <v>42</v>
      </c>
      <c r="L10" s="5">
        <v>36</v>
      </c>
      <c r="M10" s="11">
        <v>35</v>
      </c>
      <c r="N10" s="11">
        <v>11</v>
      </c>
      <c r="O10" s="7">
        <f>SUM(C10:N10)</f>
        <v>454</v>
      </c>
    </row>
    <row r="11" spans="2:51" x14ac:dyDescent="0.15">
      <c r="B11" s="5" t="s">
        <v>1</v>
      </c>
      <c r="C11" s="5">
        <v>1</v>
      </c>
      <c r="D11" s="5">
        <v>10</v>
      </c>
      <c r="E11" s="5">
        <v>2</v>
      </c>
      <c r="F11" s="5">
        <v>5</v>
      </c>
      <c r="G11" s="5">
        <v>13</v>
      </c>
      <c r="H11" s="5">
        <v>9</v>
      </c>
      <c r="I11" s="5">
        <v>18</v>
      </c>
      <c r="J11" s="5">
        <v>15</v>
      </c>
      <c r="K11" s="5">
        <v>12</v>
      </c>
      <c r="L11" s="5">
        <v>6</v>
      </c>
      <c r="M11" s="11">
        <v>2</v>
      </c>
      <c r="N11" s="11">
        <v>3</v>
      </c>
      <c r="O11" s="7">
        <f>SUM(C11:N11)</f>
        <v>96</v>
      </c>
    </row>
    <row r="12" spans="2:51" x14ac:dyDescent="0.15">
      <c r="B12" s="5" t="s">
        <v>0</v>
      </c>
      <c r="C12" s="5">
        <v>90</v>
      </c>
      <c r="D12" s="5">
        <v>222</v>
      </c>
      <c r="E12" s="5">
        <v>109</v>
      </c>
      <c r="F12" s="5">
        <v>149</v>
      </c>
      <c r="G12" s="5">
        <v>148</v>
      </c>
      <c r="H12" s="5">
        <v>107</v>
      </c>
      <c r="I12" s="5">
        <v>92</v>
      </c>
      <c r="J12" s="5">
        <v>109</v>
      </c>
      <c r="K12" s="5">
        <v>87</v>
      </c>
      <c r="L12" s="5">
        <v>79</v>
      </c>
      <c r="M12" s="11">
        <v>74</v>
      </c>
      <c r="N12" s="11">
        <v>48</v>
      </c>
      <c r="O12" s="7">
        <f>SUM(C12:N12)</f>
        <v>1314</v>
      </c>
    </row>
    <row r="14" spans="2:51" x14ac:dyDescent="0.15">
      <c r="B14" s="8" t="s">
        <v>18</v>
      </c>
    </row>
    <row r="15" spans="2:51" x14ac:dyDescent="0.15">
      <c r="B15" s="1"/>
      <c r="C15" s="1" t="s">
        <v>12</v>
      </c>
      <c r="D15" s="1" t="s">
        <v>13</v>
      </c>
      <c r="E15" s="1" t="s">
        <v>8</v>
      </c>
      <c r="F15" s="1" t="s">
        <v>14</v>
      </c>
      <c r="G15" s="1" t="s">
        <v>7</v>
      </c>
      <c r="H15" s="1" t="s">
        <v>6</v>
      </c>
      <c r="I15" s="1" t="s">
        <v>5</v>
      </c>
      <c r="J15" s="1" t="s">
        <v>9</v>
      </c>
      <c r="K15" s="1" t="s">
        <v>10</v>
      </c>
      <c r="L15" s="1" t="s">
        <v>11</v>
      </c>
      <c r="M15" s="1" t="s">
        <v>15</v>
      </c>
      <c r="N15" s="1" t="s">
        <v>16</v>
      </c>
      <c r="O15" s="3" t="s">
        <v>4</v>
      </c>
    </row>
    <row r="16" spans="2:51" x14ac:dyDescent="0.15">
      <c r="B16" s="5" t="s">
        <v>3</v>
      </c>
      <c r="C16" s="5">
        <v>119</v>
      </c>
      <c r="D16" s="5">
        <v>164</v>
      </c>
      <c r="E16" s="5">
        <v>157</v>
      </c>
      <c r="F16" s="5">
        <v>191</v>
      </c>
      <c r="G16" s="5">
        <v>130</v>
      </c>
      <c r="H16" s="5">
        <v>99</v>
      </c>
      <c r="I16" s="5">
        <v>190</v>
      </c>
      <c r="J16" s="5">
        <v>195</v>
      </c>
      <c r="K16" s="5">
        <v>156</v>
      </c>
      <c r="L16" s="5">
        <v>129</v>
      </c>
      <c r="M16" s="11">
        <v>135</v>
      </c>
      <c r="N16" s="11">
        <v>135</v>
      </c>
      <c r="O16" s="7">
        <f>SUM(C16:N16)+O9</f>
        <v>3330</v>
      </c>
    </row>
    <row r="17" spans="2:15" x14ac:dyDescent="0.15">
      <c r="B17" s="5" t="s">
        <v>2</v>
      </c>
      <c r="C17" s="5">
        <v>22</v>
      </c>
      <c r="D17" s="5">
        <v>39</v>
      </c>
      <c r="E17" s="5">
        <v>20</v>
      </c>
      <c r="F17" s="5">
        <v>44</v>
      </c>
      <c r="G17" s="5">
        <v>20</v>
      </c>
      <c r="H17" s="5">
        <v>19</v>
      </c>
      <c r="I17" s="5">
        <v>18</v>
      </c>
      <c r="J17" s="5">
        <v>35</v>
      </c>
      <c r="K17" s="5">
        <v>35</v>
      </c>
      <c r="L17" s="5">
        <v>19</v>
      </c>
      <c r="M17" s="11">
        <v>22</v>
      </c>
      <c r="N17" s="11">
        <v>26</v>
      </c>
      <c r="O17" s="7">
        <f t="shared" ref="O17:O19" si="10">SUM(C17:N17)+O10</f>
        <v>773</v>
      </c>
    </row>
    <row r="18" spans="2:15" x14ac:dyDescent="0.15">
      <c r="B18" s="5" t="s">
        <v>1</v>
      </c>
      <c r="C18" s="5">
        <v>4</v>
      </c>
      <c r="D18" s="5">
        <v>6</v>
      </c>
      <c r="E18" s="5">
        <v>7</v>
      </c>
      <c r="F18" s="5">
        <v>5</v>
      </c>
      <c r="G18" s="5">
        <v>6</v>
      </c>
      <c r="H18" s="5">
        <v>1</v>
      </c>
      <c r="I18" s="5">
        <v>0</v>
      </c>
      <c r="J18" s="5">
        <v>3</v>
      </c>
      <c r="K18" s="5">
        <v>5</v>
      </c>
      <c r="L18" s="5">
        <v>2</v>
      </c>
      <c r="M18" s="11">
        <v>3</v>
      </c>
      <c r="N18" s="11">
        <v>3</v>
      </c>
      <c r="O18" s="7">
        <f t="shared" si="10"/>
        <v>141</v>
      </c>
    </row>
    <row r="19" spans="2:15" x14ac:dyDescent="0.15">
      <c r="B19" s="5" t="s">
        <v>0</v>
      </c>
      <c r="C19" s="5">
        <v>54</v>
      </c>
      <c r="D19" s="5">
        <v>77</v>
      </c>
      <c r="E19" s="5">
        <v>46</v>
      </c>
      <c r="F19" s="5">
        <v>108</v>
      </c>
      <c r="G19" s="5">
        <v>61</v>
      </c>
      <c r="H19" s="5">
        <v>37</v>
      </c>
      <c r="I19" s="5">
        <v>48</v>
      </c>
      <c r="J19" s="5">
        <v>61</v>
      </c>
      <c r="K19" s="5">
        <v>76</v>
      </c>
      <c r="L19" s="5">
        <v>41</v>
      </c>
      <c r="M19" s="11">
        <v>53</v>
      </c>
      <c r="N19" s="11">
        <v>54</v>
      </c>
      <c r="O19" s="7">
        <f t="shared" si="10"/>
        <v>2030</v>
      </c>
    </row>
    <row r="20" spans="2:15" x14ac:dyDescent="0.15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2:15" x14ac:dyDescent="0.15">
      <c r="B21" s="8" t="s">
        <v>23</v>
      </c>
    </row>
    <row r="22" spans="2:15" x14ac:dyDescent="0.15">
      <c r="B22" s="1"/>
      <c r="C22" s="1" t="s">
        <v>12</v>
      </c>
      <c r="D22" s="1" t="s">
        <v>13</v>
      </c>
      <c r="E22" s="1" t="s">
        <v>8</v>
      </c>
      <c r="F22" s="1" t="s">
        <v>14</v>
      </c>
      <c r="G22" s="1" t="s">
        <v>7</v>
      </c>
      <c r="H22" s="1" t="s">
        <v>6</v>
      </c>
      <c r="I22" s="1" t="s">
        <v>5</v>
      </c>
      <c r="J22" s="1" t="s">
        <v>9</v>
      </c>
      <c r="K22" s="1" t="s">
        <v>10</v>
      </c>
      <c r="L22" s="1" t="s">
        <v>11</v>
      </c>
      <c r="M22" s="1" t="s">
        <v>15</v>
      </c>
      <c r="N22" s="1" t="s">
        <v>16</v>
      </c>
      <c r="O22" s="3" t="s">
        <v>4</v>
      </c>
    </row>
    <row r="23" spans="2:15" x14ac:dyDescent="0.15">
      <c r="B23" s="5" t="s">
        <v>3</v>
      </c>
      <c r="C23" s="5">
        <v>98</v>
      </c>
      <c r="D23" s="5">
        <v>123</v>
      </c>
      <c r="E23" s="5">
        <v>131</v>
      </c>
      <c r="F23" s="5">
        <v>139</v>
      </c>
      <c r="G23" s="5">
        <v>145</v>
      </c>
      <c r="H23" s="5">
        <v>116</v>
      </c>
      <c r="I23" s="5">
        <v>120</v>
      </c>
      <c r="J23" s="5">
        <v>141</v>
      </c>
      <c r="K23" s="5">
        <v>121</v>
      </c>
      <c r="L23" s="5">
        <v>134</v>
      </c>
      <c r="M23" s="11">
        <v>117</v>
      </c>
      <c r="N23" s="11">
        <v>54</v>
      </c>
      <c r="O23" s="7">
        <f>SUM(C23:N23)+O16</f>
        <v>4769</v>
      </c>
    </row>
    <row r="24" spans="2:15" x14ac:dyDescent="0.15">
      <c r="B24" s="5" t="s">
        <v>2</v>
      </c>
      <c r="C24" s="5">
        <v>12</v>
      </c>
      <c r="D24" s="5">
        <v>23</v>
      </c>
      <c r="E24" s="5">
        <v>24</v>
      </c>
      <c r="F24" s="5">
        <v>32</v>
      </c>
      <c r="G24" s="5">
        <v>40</v>
      </c>
      <c r="H24" s="5">
        <v>29</v>
      </c>
      <c r="I24" s="5">
        <v>12</v>
      </c>
      <c r="J24" s="5">
        <v>25</v>
      </c>
      <c r="K24" s="5">
        <v>25</v>
      </c>
      <c r="L24" s="5">
        <v>21</v>
      </c>
      <c r="M24" s="11">
        <v>15</v>
      </c>
      <c r="N24" s="11">
        <v>7</v>
      </c>
      <c r="O24" s="7">
        <f t="shared" ref="O24:O26" si="11">SUM(C24:N24)+O17</f>
        <v>1038</v>
      </c>
    </row>
    <row r="25" spans="2:15" x14ac:dyDescent="0.15">
      <c r="B25" s="5" t="s">
        <v>1</v>
      </c>
      <c r="C25" s="5">
        <v>1</v>
      </c>
      <c r="D25" s="5">
        <v>7</v>
      </c>
      <c r="E25" s="5">
        <v>4</v>
      </c>
      <c r="F25" s="5">
        <v>7</v>
      </c>
      <c r="G25" s="5">
        <v>5</v>
      </c>
      <c r="H25" s="5">
        <v>3</v>
      </c>
      <c r="I25" s="5">
        <v>6</v>
      </c>
      <c r="J25" s="5">
        <v>4</v>
      </c>
      <c r="K25" s="5">
        <v>1</v>
      </c>
      <c r="L25" s="5">
        <v>0</v>
      </c>
      <c r="M25" s="11">
        <v>1</v>
      </c>
      <c r="N25" s="11">
        <v>2</v>
      </c>
      <c r="O25" s="7">
        <f t="shared" si="11"/>
        <v>182</v>
      </c>
    </row>
    <row r="26" spans="2:15" x14ac:dyDescent="0.15">
      <c r="B26" s="5" t="s">
        <v>0</v>
      </c>
      <c r="C26" s="5">
        <v>53</v>
      </c>
      <c r="D26" s="5">
        <v>60</v>
      </c>
      <c r="E26" s="5">
        <v>60</v>
      </c>
      <c r="F26" s="5">
        <v>70</v>
      </c>
      <c r="G26" s="5">
        <v>70</v>
      </c>
      <c r="H26" s="5">
        <v>47</v>
      </c>
      <c r="I26" s="5">
        <v>47</v>
      </c>
      <c r="J26" s="5">
        <v>70</v>
      </c>
      <c r="K26" s="5">
        <v>41</v>
      </c>
      <c r="L26" s="5">
        <v>74</v>
      </c>
      <c r="M26" s="11">
        <v>52</v>
      </c>
      <c r="N26" s="11">
        <v>19</v>
      </c>
      <c r="O26" s="7">
        <f t="shared" si="11"/>
        <v>2693</v>
      </c>
    </row>
    <row r="27" spans="2:15" x14ac:dyDescent="0.15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2:15" x14ac:dyDescent="0.15">
      <c r="B28" s="8" t="s">
        <v>24</v>
      </c>
    </row>
    <row r="29" spans="2:15" x14ac:dyDescent="0.15">
      <c r="B29" s="1"/>
      <c r="C29" s="1" t="s">
        <v>12</v>
      </c>
      <c r="D29" s="1" t="s">
        <v>13</v>
      </c>
      <c r="E29" s="1" t="s">
        <v>8</v>
      </c>
      <c r="F29" s="1" t="s">
        <v>14</v>
      </c>
      <c r="G29" s="1" t="s">
        <v>7</v>
      </c>
      <c r="H29" s="1" t="s">
        <v>6</v>
      </c>
      <c r="I29" s="1" t="s">
        <v>5</v>
      </c>
      <c r="J29" s="1" t="s">
        <v>9</v>
      </c>
      <c r="K29" s="1" t="s">
        <v>10</v>
      </c>
      <c r="L29" s="1" t="s">
        <v>11</v>
      </c>
      <c r="M29" s="1" t="s">
        <v>15</v>
      </c>
      <c r="N29" s="1" t="s">
        <v>16</v>
      </c>
      <c r="O29" s="3" t="s">
        <v>4</v>
      </c>
    </row>
    <row r="30" spans="2:15" x14ac:dyDescent="0.15">
      <c r="B30" s="5" t="s">
        <v>3</v>
      </c>
      <c r="C30" s="5">
        <v>72</v>
      </c>
      <c r="D30" s="5">
        <v>65</v>
      </c>
      <c r="E30" s="5">
        <v>57</v>
      </c>
      <c r="F30" s="5">
        <v>59</v>
      </c>
      <c r="G30" s="5">
        <v>71</v>
      </c>
      <c r="H30" s="5">
        <v>31</v>
      </c>
      <c r="I30" s="5">
        <v>48</v>
      </c>
      <c r="J30" s="5">
        <v>55</v>
      </c>
      <c r="K30" s="5">
        <v>62</v>
      </c>
      <c r="L30" s="5"/>
      <c r="M30" s="11"/>
      <c r="N30" s="11"/>
      <c r="O30" s="7">
        <f>SUM(C30:N30)+O23</f>
        <v>5289</v>
      </c>
    </row>
    <row r="31" spans="2:15" x14ac:dyDescent="0.15">
      <c r="B31" s="5" t="s">
        <v>2</v>
      </c>
      <c r="C31" s="5">
        <v>5</v>
      </c>
      <c r="D31" s="5">
        <v>7</v>
      </c>
      <c r="E31" s="5">
        <v>4</v>
      </c>
      <c r="F31" s="5">
        <v>3</v>
      </c>
      <c r="G31" s="5">
        <v>4</v>
      </c>
      <c r="H31" s="5">
        <v>2</v>
      </c>
      <c r="I31" s="5">
        <v>5</v>
      </c>
      <c r="J31" s="5">
        <v>6</v>
      </c>
      <c r="K31" s="5">
        <v>7</v>
      </c>
      <c r="L31" s="5"/>
      <c r="M31" s="11"/>
      <c r="N31" s="11"/>
      <c r="O31" s="7">
        <f t="shared" ref="O31" si="12">SUM(C31:N31)+O24</f>
        <v>1081</v>
      </c>
    </row>
    <row r="32" spans="2:15" x14ac:dyDescent="0.15">
      <c r="B32" s="5" t="s">
        <v>26</v>
      </c>
      <c r="C32" s="5"/>
      <c r="D32" s="5"/>
      <c r="E32" s="5"/>
      <c r="F32" s="5"/>
      <c r="G32" s="5"/>
      <c r="H32" s="5">
        <v>5</v>
      </c>
      <c r="I32" s="5">
        <v>5</v>
      </c>
      <c r="J32" s="5">
        <v>8</v>
      </c>
      <c r="K32" s="5">
        <v>6</v>
      </c>
      <c r="L32" s="5"/>
      <c r="M32" s="11"/>
      <c r="N32" s="11"/>
      <c r="O32" s="7">
        <f>SUM(C32:N32)</f>
        <v>24</v>
      </c>
    </row>
    <row r="33" spans="2:15" x14ac:dyDescent="0.15">
      <c r="B33" s="5" t="s">
        <v>1</v>
      </c>
      <c r="C33" s="5">
        <v>1</v>
      </c>
      <c r="D33" s="5">
        <v>3</v>
      </c>
      <c r="E33" s="5">
        <v>1</v>
      </c>
      <c r="F33" s="5">
        <v>3</v>
      </c>
      <c r="G33" s="5">
        <v>1</v>
      </c>
      <c r="H33" s="5">
        <v>3</v>
      </c>
      <c r="I33" s="5">
        <v>3</v>
      </c>
      <c r="J33" s="5">
        <v>0</v>
      </c>
      <c r="K33" s="5">
        <v>1</v>
      </c>
      <c r="L33" s="5"/>
      <c r="M33" s="11"/>
      <c r="N33" s="11"/>
      <c r="O33" s="7">
        <f>SUM(C33:N33)+O25</f>
        <v>198</v>
      </c>
    </row>
    <row r="34" spans="2:15" x14ac:dyDescent="0.15">
      <c r="B34" s="5" t="s">
        <v>0</v>
      </c>
      <c r="C34" s="5">
        <v>13</v>
      </c>
      <c r="D34" s="5">
        <v>18</v>
      </c>
      <c r="E34" s="5">
        <v>7</v>
      </c>
      <c r="F34" s="5">
        <v>21</v>
      </c>
      <c r="G34" s="5">
        <v>20</v>
      </c>
      <c r="H34" s="5">
        <v>21</v>
      </c>
      <c r="I34" s="5">
        <v>17</v>
      </c>
      <c r="J34" s="5">
        <v>14</v>
      </c>
      <c r="K34" s="5">
        <v>27</v>
      </c>
      <c r="L34" s="5"/>
      <c r="M34" s="11"/>
      <c r="N34" s="11"/>
      <c r="O34" s="7">
        <f>SUM(C34:N34)+O26</f>
        <v>2851</v>
      </c>
    </row>
    <row r="35" spans="2:15" x14ac:dyDescent="0.15">
      <c r="C35" s="12"/>
      <c r="D35" s="12"/>
      <c r="E35" s="12"/>
      <c r="F35" s="12"/>
      <c r="G35" s="12"/>
      <c r="H35" s="12"/>
      <c r="K35" s="12" t="s">
        <v>27</v>
      </c>
      <c r="L35" s="12"/>
      <c r="M35" s="12"/>
      <c r="N35" s="12"/>
    </row>
    <row r="36" spans="2:15" ht="8.25" customHeight="1" x14ac:dyDescent="0.15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39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發巳</vt:lpstr>
      <vt:lpstr>發巳 (2)</vt:lpstr>
      <vt:lpstr>發巳!Print_Area</vt:lpstr>
      <vt:lpstr>'發巳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2025-10-27T04:06:17Z</cp:lastPrinted>
  <dcterms:created xsi:type="dcterms:W3CDTF">2018-10-31T01:38:43Z</dcterms:created>
  <dcterms:modified xsi:type="dcterms:W3CDTF">2026-04-27T01:40:02Z</dcterms:modified>
</cp:coreProperties>
</file>