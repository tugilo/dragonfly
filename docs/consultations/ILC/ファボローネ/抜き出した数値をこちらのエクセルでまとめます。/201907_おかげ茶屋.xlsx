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おかげ茶屋" sheetId="1" r:id="rId1"/>
    <sheet name="おかげ茶屋 (2)" sheetId="2" r:id="rId2"/>
  </sheets>
  <definedNames>
    <definedName name="_xlnm.Print_Area" localSheetId="0">おかげ茶屋!$A$43:$P$60</definedName>
    <definedName name="_xlnm.Print_Area" localSheetId="1">'おかげ茶屋 (2)'!$A$28:$P$81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9" i="1" l="1"/>
  <c r="O58" i="1"/>
  <c r="O57" i="1"/>
  <c r="O56" i="1"/>
  <c r="O55" i="1"/>
  <c r="O54" i="1"/>
  <c r="O38" i="1" l="1"/>
  <c r="O39" i="1"/>
  <c r="O40" i="1"/>
  <c r="O37" i="1"/>
  <c r="O46" i="1"/>
  <c r="O47" i="1"/>
  <c r="O48" i="1"/>
  <c r="O49" i="1"/>
  <c r="O45" i="1"/>
  <c r="O39" i="2"/>
  <c r="O12" i="2"/>
  <c r="O19" i="2" s="1"/>
  <c r="O26" i="2" s="1"/>
  <c r="O33" i="2" s="1"/>
  <c r="O41" i="2" s="1"/>
  <c r="O11" i="2"/>
  <c r="O18" i="2" s="1"/>
  <c r="O25" i="2" s="1"/>
  <c r="O32" i="2" s="1"/>
  <c r="O40" i="2" s="1"/>
  <c r="O10" i="2"/>
  <c r="O17" i="2" s="1"/>
  <c r="O24" i="2" s="1"/>
  <c r="O31" i="2" s="1"/>
  <c r="O38" i="2" s="1"/>
  <c r="O9" i="2"/>
  <c r="O16" i="2" s="1"/>
  <c r="O23" i="2" s="1"/>
  <c r="O30" i="2" s="1"/>
  <c r="O37" i="2" s="1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BK5" i="2" s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BK4" i="2" s="1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BK3" i="2" s="1"/>
  <c r="BJ2" i="2"/>
  <c r="BI2" i="2"/>
  <c r="BH2" i="2"/>
  <c r="BG2" i="2"/>
  <c r="BF2" i="2"/>
  <c r="BE2" i="2"/>
  <c r="BD2" i="2"/>
  <c r="BC2" i="2"/>
  <c r="BB2" i="2"/>
  <c r="BA2" i="2"/>
  <c r="AZ2" i="2"/>
  <c r="AY2" i="2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BK2" i="2" s="1"/>
  <c r="AZ2" i="1" l="1"/>
  <c r="BA2" i="1"/>
  <c r="BB2" i="1"/>
  <c r="BC2" i="1"/>
  <c r="BD2" i="1"/>
  <c r="BE2" i="1"/>
  <c r="BF2" i="1"/>
  <c r="BG2" i="1"/>
  <c r="BH2" i="1"/>
  <c r="BI2" i="1"/>
  <c r="BJ2" i="1"/>
  <c r="AZ3" i="1"/>
  <c r="BA3" i="1"/>
  <c r="BB3" i="1"/>
  <c r="BC3" i="1"/>
  <c r="BD3" i="1"/>
  <c r="BE3" i="1"/>
  <c r="BF3" i="1"/>
  <c r="BG3" i="1"/>
  <c r="BH3" i="1"/>
  <c r="BI3" i="1"/>
  <c r="BJ3" i="1"/>
  <c r="AZ4" i="1"/>
  <c r="BA4" i="1"/>
  <c r="BB4" i="1"/>
  <c r="BC4" i="1"/>
  <c r="BD4" i="1"/>
  <c r="BE4" i="1"/>
  <c r="BF4" i="1"/>
  <c r="BG4" i="1"/>
  <c r="BH4" i="1"/>
  <c r="BI4" i="1"/>
  <c r="BJ4" i="1"/>
  <c r="AZ5" i="1"/>
  <c r="BA5" i="1"/>
  <c r="BB5" i="1"/>
  <c r="BC5" i="1"/>
  <c r="BD5" i="1"/>
  <c r="BE5" i="1"/>
  <c r="BF5" i="1"/>
  <c r="BG5" i="1"/>
  <c r="BH5" i="1"/>
  <c r="BI5" i="1"/>
  <c r="BJ5" i="1"/>
  <c r="AY3" i="1"/>
  <c r="AY4" i="1"/>
  <c r="AY5" i="1"/>
  <c r="AY2" i="1"/>
  <c r="AN2" i="1"/>
  <c r="AO2" i="1"/>
  <c r="AP2" i="1"/>
  <c r="AQ2" i="1"/>
  <c r="AR2" i="1"/>
  <c r="AS2" i="1"/>
  <c r="AT2" i="1"/>
  <c r="AU2" i="1"/>
  <c r="AV2" i="1"/>
  <c r="AW2" i="1"/>
  <c r="AX2" i="1"/>
  <c r="AN3" i="1"/>
  <c r="AO3" i="1"/>
  <c r="AP3" i="1"/>
  <c r="AQ3" i="1"/>
  <c r="AR3" i="1"/>
  <c r="AS3" i="1"/>
  <c r="AT3" i="1"/>
  <c r="AU3" i="1"/>
  <c r="AV3" i="1"/>
  <c r="AW3" i="1"/>
  <c r="AX3" i="1"/>
  <c r="AN4" i="1"/>
  <c r="AO4" i="1"/>
  <c r="AP4" i="1"/>
  <c r="AQ4" i="1"/>
  <c r="AR4" i="1"/>
  <c r="AS4" i="1"/>
  <c r="AT4" i="1"/>
  <c r="AU4" i="1"/>
  <c r="AV4" i="1"/>
  <c r="AW4" i="1"/>
  <c r="AX4" i="1"/>
  <c r="AN5" i="1"/>
  <c r="AO5" i="1"/>
  <c r="AP5" i="1"/>
  <c r="AQ5" i="1"/>
  <c r="AR5" i="1"/>
  <c r="AS5" i="1"/>
  <c r="AT5" i="1"/>
  <c r="AU5" i="1"/>
  <c r="AV5" i="1"/>
  <c r="AW5" i="1"/>
  <c r="AX5" i="1"/>
  <c r="AM3" i="1"/>
  <c r="AM4" i="1"/>
  <c r="AM5" i="1"/>
  <c r="AM2" i="1"/>
  <c r="O12" i="1"/>
  <c r="O19" i="1" s="1"/>
  <c r="O11" i="1"/>
  <c r="O18" i="1" s="1"/>
  <c r="O10" i="1"/>
  <c r="O17" i="1" s="1"/>
  <c r="O9" i="1"/>
  <c r="O16" i="1" s="1"/>
  <c r="Z5" i="1"/>
  <c r="Y5" i="1"/>
  <c r="X5" i="1"/>
  <c r="W5" i="1"/>
  <c r="V5" i="1"/>
  <c r="U5" i="1"/>
  <c r="T5" i="1"/>
  <c r="S5" i="1"/>
  <c r="R5" i="1"/>
  <c r="Q5" i="1"/>
  <c r="P5" i="1"/>
  <c r="O5" i="1"/>
  <c r="Z4" i="1"/>
  <c r="Y4" i="1"/>
  <c r="X4" i="1"/>
  <c r="W4" i="1"/>
  <c r="V4" i="1"/>
  <c r="U4" i="1"/>
  <c r="T4" i="1"/>
  <c r="S4" i="1"/>
  <c r="R4" i="1"/>
  <c r="Q4" i="1"/>
  <c r="P4" i="1"/>
  <c r="O4" i="1"/>
  <c r="Z3" i="1"/>
  <c r="Y3" i="1"/>
  <c r="X3" i="1"/>
  <c r="W3" i="1"/>
  <c r="V3" i="1"/>
  <c r="U3" i="1"/>
  <c r="T3" i="1"/>
  <c r="S3" i="1"/>
  <c r="R3" i="1"/>
  <c r="Q3" i="1"/>
  <c r="P3" i="1"/>
  <c r="O3" i="1"/>
  <c r="Z2" i="1"/>
  <c r="Y2" i="1"/>
  <c r="X2" i="1"/>
  <c r="W2" i="1"/>
  <c r="V2" i="1"/>
  <c r="U2" i="1"/>
  <c r="T2" i="1"/>
  <c r="S2" i="1"/>
  <c r="R2" i="1"/>
  <c r="Q2" i="1"/>
  <c r="P2" i="1"/>
  <c r="O2" i="1"/>
  <c r="AA2" i="1" l="1"/>
  <c r="AA3" i="1"/>
  <c r="AA4" i="1"/>
  <c r="AA5" i="1"/>
  <c r="O26" i="1" l="1"/>
  <c r="O33" i="1" s="1"/>
  <c r="O25" i="1"/>
  <c r="O32" i="1" s="1"/>
  <c r="O24" i="1"/>
  <c r="O31" i="1" s="1"/>
  <c r="O23" i="1"/>
  <c r="O30" i="1" s="1"/>
  <c r="O41" i="1" l="1"/>
  <c r="O50" i="1" s="1"/>
  <c r="AB2" i="1"/>
  <c r="AC2" i="1"/>
  <c r="AD2" i="1"/>
  <c r="AE2" i="1"/>
  <c r="AF2" i="1"/>
  <c r="AG2" i="1"/>
  <c r="AH2" i="1"/>
  <c r="AI2" i="1"/>
  <c r="AJ2" i="1"/>
  <c r="AK2" i="1"/>
  <c r="AL2" i="1"/>
  <c r="AB3" i="1"/>
  <c r="AC3" i="1"/>
  <c r="AD3" i="1"/>
  <c r="AE3" i="1"/>
  <c r="AF3" i="1"/>
  <c r="AG3" i="1"/>
  <c r="AH3" i="1"/>
  <c r="AI3" i="1"/>
  <c r="AJ3" i="1"/>
  <c r="AK3" i="1"/>
  <c r="AL3" i="1"/>
  <c r="AB4" i="1"/>
  <c r="AC4" i="1"/>
  <c r="AD4" i="1"/>
  <c r="AE4" i="1"/>
  <c r="AF4" i="1"/>
  <c r="AG4" i="1"/>
  <c r="AH4" i="1"/>
  <c r="AI4" i="1"/>
  <c r="AJ4" i="1"/>
  <c r="AK4" i="1"/>
  <c r="AL4" i="1"/>
  <c r="AB5" i="1"/>
  <c r="AC5" i="1"/>
  <c r="AD5" i="1"/>
  <c r="AE5" i="1"/>
  <c r="AF5" i="1"/>
  <c r="AG5" i="1"/>
  <c r="AH5" i="1"/>
  <c r="AI5" i="1"/>
  <c r="AJ5" i="1"/>
  <c r="AK5" i="1"/>
  <c r="AL5" i="1"/>
  <c r="BK4" i="1" l="1"/>
  <c r="BK5" i="1"/>
  <c r="BK3" i="1"/>
  <c r="BK2" i="1"/>
</calcChain>
</file>

<file path=xl/sharedStrings.xml><?xml version="1.0" encoding="utf-8"?>
<sst xmlns="http://schemas.openxmlformats.org/spreadsheetml/2006/main" count="354" uniqueCount="34">
  <si>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</si>
  <si>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</si>
  <si>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</si>
  <si>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</si>
  <si>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</si>
  <si>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</si>
  <si>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</si>
  <si>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</si>
  <si>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</si>
  <si>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11月</t>
  </si>
  <si>
    <t>10月</t>
  </si>
  <si>
    <t>9月</t>
  </si>
  <si>
    <t>8月</t>
  </si>
  <si>
    <t>7月</t>
  </si>
  <si>
    <t>6月</t>
  </si>
  <si>
    <t>総合計</t>
    <rPh sb="0" eb="1">
      <t>ソウ</t>
    </rPh>
    <rPh sb="1" eb="3">
      <t>ゴウケイ</t>
    </rPh>
    <phoneticPr fontId="2"/>
  </si>
  <si>
    <t>5月</t>
  </si>
  <si>
    <t>1月</t>
  </si>
  <si>
    <t>2020/1月</t>
    <phoneticPr fontId="2"/>
  </si>
  <si>
    <t>2021/1月</t>
    <phoneticPr fontId="2"/>
  </si>
  <si>
    <t>7月</t>
    <rPh sb="1" eb="2">
      <t>ガツ</t>
    </rPh>
    <phoneticPr fontId="2"/>
  </si>
  <si>
    <t>2019年7月～2020年6月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</si>
  <si>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2020年7月～2021年6月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</si>
  <si>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2021年7月～2022年6月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</si>
  <si>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2023/1月</t>
    <phoneticPr fontId="2"/>
  </si>
  <si>
    <t>2022年7月～2023年6月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</si>
  <si>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2023年7月～2024年6月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</si>
  <si>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スタンプクーポン</t>
    <phoneticPr fontId="2"/>
  </si>
  <si>
    <t>2024/1月</t>
    <phoneticPr fontId="2"/>
  </si>
  <si>
    <t>5/26～6/25</t>
    <phoneticPr fontId="2"/>
  </si>
  <si>
    <t>閲覧数</t>
    <rPh sb="0" eb="3">
      <t>エツランスウ</t>
    </rPh>
    <phoneticPr fontId="2"/>
  </si>
  <si>
    <t>2024年7月～2025年6月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</si>
  <si>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2025年7月～2026年6月</t>
    <rPh sb="4" eb="5">
      <t>ネン</t>
    </rPh>
    <rPh sb="6" eb="7">
      <t>ガツ</t>
    </rPh>
    <rPh sb="12" eb="13">
      <t>ネン</t>
    </rPh>
    <rPh sb="14" eb="15">
      <t>ガツ</t>
    </rPh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</si>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</sst>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56" fontId="1" fillId="0" borderId="0" xfId="0" applyNumberFormat="1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38" fontId="1" fillId="0" borderId="1" xfId="1" applyFont="1" applyBorder="1">
      <alignment vertical="center"/>
    </xf>
    <xf numFmtId="38" fontId="3" fillId="0" borderId="0" xfId="1" applyFont="1" applyAlignment="1">
      <alignment horizontal="center" vertical="center" shrinkToFit="1"/>
    </xf>
    <xf numFmtId="38" fontId="1" fillId="0" borderId="0" xfId="1" applyFont="1" applyBorder="1">
      <alignment vertical="center"/>
    </xf>
    <xf numFmtId="56" fontId="5" fillId="0" borderId="0" xfId="0" applyNumberFormat="1" applyFont="1" applyAlignment="1">
      <alignment horizontal="center" vertical="center" shrinkToFit="1"/>
    </xf>
    <xf numFmtId="38" fontId="3" fillId="0" borderId="0" xfId="1" applyFont="1" applyBorder="1" applyAlignment="1">
      <alignment horizontal="center" vertical="center" shrinkToFit="1"/>
    </xf>
    <xf numFmtId="38" fontId="1" fillId="0" borderId="0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>
      <alignment vertical="center"/>
    </xf>
    <xf numFmtId="38" fontId="1" fillId="0" borderId="10" xfId="1" applyFont="1" applyBorder="1" applyAlignment="1">
      <alignment horizontal="center" vertical="center" shrinkToFit="1"/>
    </xf>
    <xf numFmtId="38" fontId="1" fillId="0" borderId="11" xfId="1" applyFont="1" applyBorder="1">
      <alignment vertical="center"/>
    </xf>
    <xf numFmtId="38" fontId="1" fillId="0" borderId="12" xfId="1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38" fontId="1" fillId="0" borderId="10" xfId="1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19" xfId="0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6600"/>
      <color rgb="FFFB79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7010345638180063E-2"/>
          <c:y val="0.19393486690296644"/>
          <c:w val="0.91805920571837363"/>
          <c:h val="0.66647455635209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'おかげ茶屋 (2)'!$B$28</c:f>
              <c:strCache>
                <c:ptCount val="1"/>
                <c:pt idx="0">
                  <c:v>2022年7月～2023年6月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'おかげ茶屋 (2)'!$C$36:$N$36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'おかげ茶屋 (2)'!$C$30:$N$30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4F-4ACC-872C-E481BA1E3E7E}"/>
            </c:ext>
          </c:extLst>
        </c:ser>
        <c:ser>
          <c:idx val="1"/>
          <c:order val="1"/>
          <c:tx>
            <c:strRef>
              <c:f>'おかげ茶屋 (2)'!$B$35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'おかげ茶屋 (2)'!$C$36:$N$36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'おかげ茶屋 (2)'!$C$37:$N$37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4F-4ACC-872C-E481BA1E3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986984"/>
        <c:axId val="509987376"/>
        <c:extLst xmlns:c16r2="http://schemas.microsoft.com/office/drawing/2015/06/chart"/>
      </c:barChart>
      <c:catAx>
        <c:axId val="50998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9987376"/>
        <c:crosses val="autoZero"/>
        <c:auto val="1"/>
        <c:lblAlgn val="ctr"/>
        <c:lblOffset val="100"/>
        <c:noMultiLvlLbl val="0"/>
      </c:catAx>
      <c:valAx>
        <c:axId val="50998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50998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13051412902131"/>
          <c:y val="3.7171130307740656E-2"/>
          <c:w val="0.283722815571328"/>
          <c:h val="0.161450727749940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クーポン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5335358017688985E-2"/>
          <c:y val="0.20144674873387305"/>
          <c:w val="0.90741096872034344"/>
          <c:h val="0.662530372326213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'おかげ茶屋 (2)'!$B$28</c:f>
              <c:strCache>
                <c:ptCount val="1"/>
                <c:pt idx="0">
                  <c:v>2022年7月～2023年6月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'おかげ茶屋 (2)'!$C$36:$N$36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'おかげ茶屋 (2)'!$C$31:$N$31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DF-499C-83A3-DDB489CBB85B}"/>
            </c:ext>
          </c:extLst>
        </c:ser>
        <c:ser>
          <c:idx val="1"/>
          <c:order val="1"/>
          <c:tx>
            <c:strRef>
              <c:f>'おかげ茶屋 (2)'!$B$35</c:f>
              <c:strCache>
                <c:ptCount val="1"/>
                <c:pt idx="0">
                  <c:v>2023年7月～2024年6月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'おかげ茶屋 (2)'!$C$36:$N$36</c:f>
              <c:strCache>
                <c:ptCount val="12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</c:strCache>
            </c:strRef>
          </c:cat>
          <c:val>
            <c:numRef>
              <c:f>'おかげ茶屋 (2)'!$C$38:$N$38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FDF-499C-83A3-DDB489CBB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4120"/>
        <c:axId val="472444904"/>
        <c:extLst xmlns:c16r2="http://schemas.microsoft.com/office/drawing/2015/06/chart"/>
      </c:barChart>
      <c:catAx>
        <c:axId val="47244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904"/>
        <c:crosses val="autoZero"/>
        <c:auto val="1"/>
        <c:lblAlgn val="ctr"/>
        <c:lblOffset val="100"/>
        <c:noMultiLvlLbl val="0"/>
      </c:catAx>
      <c:valAx>
        <c:axId val="472444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70414891367453"/>
          <c:y val="3.4155958518214541E-2"/>
          <c:w val="0.30227872732774186"/>
          <c:h val="0.16088818166021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アプリＤＬ</a:t>
            </a:r>
            <a:r>
              <a:rPr lang="ja-JP"/>
              <a:t>　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0296893557409641"/>
          <c:y val="4.33810316979608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7034825750388259E-2"/>
          <c:y val="0.12025924759405074"/>
          <c:w val="0.95289781945787577"/>
          <c:h val="0.675361539807523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'おかげ茶屋 (2)'!$B$5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B79E8"/>
            </a:solidFill>
            <a:ln>
              <a:noFill/>
            </a:ln>
            <a:effectLst/>
          </c:spPr>
          <c:invertIfNegative val="0"/>
          <c:cat>
            <c:strRef>
              <c:f>'おかげ茶屋 (2)'!$AM$1:$BJ$1</c:f>
              <c:strCache>
                <c:ptCount val="24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2023/1月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  <c:pt idx="18">
                  <c:v>2024/1月</c:v>
                </c:pt>
                <c:pt idx="19">
                  <c:v>2月</c:v>
                </c:pt>
                <c:pt idx="20">
                  <c:v>3月</c:v>
                </c:pt>
                <c:pt idx="21">
                  <c:v>4月</c:v>
                </c:pt>
                <c:pt idx="22">
                  <c:v>5月</c:v>
                </c:pt>
                <c:pt idx="23">
                  <c:v>6月</c:v>
                </c:pt>
              </c:strCache>
            </c:strRef>
          </c:cat>
          <c:val>
            <c:numRef>
              <c:f>'おかげ茶屋 (2)'!$AM$5:$BJ$5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4</c:v>
                </c:pt>
                <c:pt idx="4">
                  <c:v>11</c:v>
                </c:pt>
                <c:pt idx="5">
                  <c:v>8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8</c:v>
                </c:pt>
                <c:pt idx="11">
                  <c:v>5</c:v>
                </c:pt>
                <c:pt idx="12">
                  <c:v>8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1</c:v>
                </c:pt>
                <c:pt idx="18">
                  <c:v>5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9</c:v>
                </c:pt>
                <c:pt idx="23">
                  <c:v>6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0-50C9-4D21-9767-5F49C6BFE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2443336"/>
        <c:axId val="472446080"/>
        <c:extLst xmlns:c16r2="http://schemas.microsoft.com/office/drawing/2015/06/chart"/>
      </c:barChart>
      <c:catAx>
        <c:axId val="472443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6080"/>
        <c:crosses val="autoZero"/>
        <c:auto val="1"/>
        <c:lblAlgn val="ctr"/>
        <c:lblOffset val="100"/>
        <c:noMultiLvlLbl val="0"/>
      </c:catAx>
      <c:valAx>
        <c:axId val="47244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443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42</xdr:row>
      <xdr:rowOff>57150</xdr:rowOff>
    </xdr:from>
    <xdr:to>
      <xdr:col>7</xdr:col>
      <xdr:colOff>771525</xdr:colOff>
      <xdr:row>60</xdr:row>
      <xdr:rowOff>123825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DBE1681C-AAC5-41D2-8BB5-7BB8536535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133350</xdr:colOff>
      <xdr:row>42</xdr:row>
      <xdr:rowOff>38100</xdr:rowOff>
    </xdr:from>
    <xdr:to>
      <xdr:col>15</xdr:col>
      <xdr:colOff>657224</xdr:colOff>
      <xdr:row>60</xdr:row>
      <xdr:rowOff>114300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82C16156-75E2-4356-A3B2-EBBFC3ED92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61</xdr:row>
      <xdr:rowOff>38100</xdr:rowOff>
    </xdr:from>
    <xdr:to>
      <xdr:col>15</xdr:col>
      <xdr:colOff>685800</xdr:colOff>
      <xdr:row>81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C2115E8E-336D-42F4-94B1-F9CD45383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60"/>
  <sheetViews>
    <sheetView tabSelected="1" topLeftCell="A43" zoomScale="90" zoomScaleNormal="90" workbookViewId="0">
      <selection activeCell="L60" sqref="L60"/>
    </sheetView>
  </sheetViews>
  <sheetFormatPr defaultColWidth="9" defaultRowHeight="15.75" x14ac:dyDescent="0.15"/>
  <cols>
    <col min="1" max="1" width="7.5" style="1" customWidth="1"/>
    <col min="2" max="2" width="16.125" style="4" customWidth="1"/>
    <col min="3" max="15" width="10.375" style="1" customWidth="1"/>
    <col min="16" max="16" width="11.125" style="1" customWidth="1"/>
    <col min="17" max="62" width="5.875" style="1" customWidth="1"/>
    <col min="63" max="16384" width="9" style="1"/>
  </cols>
  <sheetData>
    <row r="1" spans="2:63" s="4" customFormat="1" x14ac:dyDescent="0.15">
      <c r="B1" s="31"/>
      <c r="C1" s="31" t="s">
        <v>20</v>
      </c>
      <c r="D1" s="31" t="s">
        <v>12</v>
      </c>
      <c r="E1" s="31" t="s">
        <v>11</v>
      </c>
      <c r="F1" s="31" t="s">
        <v>10</v>
      </c>
      <c r="G1" s="31" t="s">
        <v>9</v>
      </c>
      <c r="H1" s="31" t="s">
        <v>8</v>
      </c>
      <c r="I1" s="31" t="s">
        <v>17</v>
      </c>
      <c r="J1" s="31" t="s">
        <v>7</v>
      </c>
      <c r="K1" s="31" t="s">
        <v>6</v>
      </c>
      <c r="L1" s="31" t="s">
        <v>5</v>
      </c>
      <c r="M1" s="31" t="s">
        <v>16</v>
      </c>
      <c r="N1" s="31" t="s">
        <v>14</v>
      </c>
      <c r="O1" s="31" t="s">
        <v>13</v>
      </c>
      <c r="P1" s="31" t="s">
        <v>12</v>
      </c>
      <c r="Q1" s="31" t="s">
        <v>11</v>
      </c>
      <c r="R1" s="31" t="s">
        <v>10</v>
      </c>
      <c r="S1" s="31" t="s">
        <v>9</v>
      </c>
      <c r="T1" s="31" t="s">
        <v>8</v>
      </c>
      <c r="U1" s="31" t="s">
        <v>18</v>
      </c>
      <c r="V1" s="31" t="s">
        <v>7</v>
      </c>
      <c r="W1" s="31" t="s">
        <v>6</v>
      </c>
      <c r="X1" s="31" t="s">
        <v>5</v>
      </c>
      <c r="Y1" s="31" t="s">
        <v>16</v>
      </c>
      <c r="Z1" s="31" t="s">
        <v>14</v>
      </c>
      <c r="AA1" s="31" t="s">
        <v>13</v>
      </c>
      <c r="AB1" s="31" t="s">
        <v>12</v>
      </c>
      <c r="AC1" s="31" t="s">
        <v>11</v>
      </c>
      <c r="AD1" s="31" t="s">
        <v>10</v>
      </c>
      <c r="AE1" s="31" t="s">
        <v>9</v>
      </c>
      <c r="AF1" s="31" t="s">
        <v>8</v>
      </c>
      <c r="AG1" s="31" t="s">
        <v>19</v>
      </c>
      <c r="AH1" s="31" t="s">
        <v>7</v>
      </c>
      <c r="AI1" s="31" t="s">
        <v>6</v>
      </c>
      <c r="AJ1" s="31" t="s">
        <v>5</v>
      </c>
      <c r="AK1" s="31" t="s">
        <v>16</v>
      </c>
      <c r="AL1" s="31" t="s">
        <v>14</v>
      </c>
      <c r="AM1" s="31" t="s">
        <v>13</v>
      </c>
      <c r="AN1" s="31" t="s">
        <v>12</v>
      </c>
      <c r="AO1" s="31" t="s">
        <v>11</v>
      </c>
      <c r="AP1" s="31" t="s">
        <v>10</v>
      </c>
      <c r="AQ1" s="31" t="s">
        <v>9</v>
      </c>
      <c r="AR1" s="31" t="s">
        <v>8</v>
      </c>
      <c r="AS1" s="31" t="s">
        <v>24</v>
      </c>
      <c r="AT1" s="31" t="s">
        <v>7</v>
      </c>
      <c r="AU1" s="31" t="s">
        <v>6</v>
      </c>
      <c r="AV1" s="31" t="s">
        <v>5</v>
      </c>
      <c r="AW1" s="31" t="s">
        <v>16</v>
      </c>
      <c r="AX1" s="31" t="s">
        <v>14</v>
      </c>
      <c r="AY1" s="31" t="s">
        <v>13</v>
      </c>
      <c r="AZ1" s="31" t="s">
        <v>12</v>
      </c>
      <c r="BA1" s="31" t="s">
        <v>11</v>
      </c>
      <c r="BB1" s="31" t="s">
        <v>10</v>
      </c>
      <c r="BC1" s="31" t="s">
        <v>9</v>
      </c>
      <c r="BD1" s="31" t="s">
        <v>8</v>
      </c>
      <c r="BE1" s="31" t="s">
        <v>28</v>
      </c>
      <c r="BF1" s="31" t="s">
        <v>7</v>
      </c>
      <c r="BG1" s="31" t="s">
        <v>6</v>
      </c>
      <c r="BH1" s="31" t="s">
        <v>5</v>
      </c>
      <c r="BI1" s="31" t="s">
        <v>16</v>
      </c>
      <c r="BJ1" s="31" t="s">
        <v>14</v>
      </c>
      <c r="BK1" s="5" t="s">
        <v>4</v>
      </c>
    </row>
    <row r="2" spans="2:63" x14ac:dyDescent="0.15">
      <c r="B2" s="3" t="s">
        <v>3</v>
      </c>
      <c r="C2" s="3">
        <v>0</v>
      </c>
      <c r="D2" s="3">
        <v>2</v>
      </c>
      <c r="E2" s="3">
        <v>1</v>
      </c>
      <c r="F2" s="3">
        <v>7</v>
      </c>
      <c r="G2" s="3">
        <v>0</v>
      </c>
      <c r="H2" s="3">
        <v>2</v>
      </c>
      <c r="I2" s="3">
        <v>3</v>
      </c>
      <c r="J2" s="3">
        <v>4</v>
      </c>
      <c r="K2" s="3">
        <v>6</v>
      </c>
      <c r="L2" s="3">
        <v>3</v>
      </c>
      <c r="M2" s="3">
        <v>3</v>
      </c>
      <c r="N2" s="2">
        <v>10</v>
      </c>
      <c r="O2" s="3">
        <f>C16</f>
        <v>4</v>
      </c>
      <c r="P2" s="3">
        <f>D16</f>
        <v>2</v>
      </c>
      <c r="Q2" s="3">
        <f t="shared" ref="P2:Q5" si="0">E16</f>
        <v>2</v>
      </c>
      <c r="R2" s="3">
        <f>F16</f>
        <v>2</v>
      </c>
      <c r="S2" s="3">
        <f t="shared" ref="O2:Z5" si="1">G16</f>
        <v>5</v>
      </c>
      <c r="T2" s="3">
        <f t="shared" si="1"/>
        <v>7</v>
      </c>
      <c r="U2" s="3">
        <f t="shared" si="1"/>
        <v>5</v>
      </c>
      <c r="V2" s="3">
        <f t="shared" si="1"/>
        <v>4</v>
      </c>
      <c r="W2" s="3">
        <f t="shared" si="1"/>
        <v>2</v>
      </c>
      <c r="X2" s="3">
        <f t="shared" si="1"/>
        <v>4</v>
      </c>
      <c r="Y2" s="3">
        <f t="shared" si="1"/>
        <v>2</v>
      </c>
      <c r="Z2" s="3">
        <f t="shared" si="1"/>
        <v>1</v>
      </c>
      <c r="AA2" s="3">
        <f>C23</f>
        <v>2</v>
      </c>
      <c r="AB2" s="3">
        <f t="shared" ref="AB2:AL5" si="2">D23</f>
        <v>1</v>
      </c>
      <c r="AC2" s="3">
        <f t="shared" si="2"/>
        <v>4</v>
      </c>
      <c r="AD2" s="3">
        <f t="shared" si="2"/>
        <v>2</v>
      </c>
      <c r="AE2" s="3">
        <f t="shared" si="2"/>
        <v>0</v>
      </c>
      <c r="AF2" s="3">
        <f t="shared" si="2"/>
        <v>3</v>
      </c>
      <c r="AG2" s="3">
        <f t="shared" si="2"/>
        <v>1</v>
      </c>
      <c r="AH2" s="3">
        <f t="shared" si="2"/>
        <v>1</v>
      </c>
      <c r="AI2" s="3">
        <f t="shared" si="2"/>
        <v>4</v>
      </c>
      <c r="AJ2" s="3">
        <f t="shared" si="2"/>
        <v>0</v>
      </c>
      <c r="AK2" s="3">
        <f t="shared" si="2"/>
        <v>3</v>
      </c>
      <c r="AL2" s="3">
        <f t="shared" si="2"/>
        <v>1</v>
      </c>
      <c r="AM2" s="35">
        <f>C30</f>
        <v>1</v>
      </c>
      <c r="AN2" s="35">
        <f t="shared" ref="AN2:AX5" si="3">D30</f>
        <v>3</v>
      </c>
      <c r="AO2" s="35">
        <f t="shared" si="3"/>
        <v>0</v>
      </c>
      <c r="AP2" s="35">
        <f t="shared" si="3"/>
        <v>1</v>
      </c>
      <c r="AQ2" s="35">
        <f t="shared" si="3"/>
        <v>0</v>
      </c>
      <c r="AR2" s="35">
        <f t="shared" si="3"/>
        <v>3</v>
      </c>
      <c r="AS2" s="35">
        <f t="shared" si="3"/>
        <v>0</v>
      </c>
      <c r="AT2" s="35">
        <f t="shared" si="3"/>
        <v>0</v>
      </c>
      <c r="AU2" s="35">
        <f t="shared" si="3"/>
        <v>1</v>
      </c>
      <c r="AV2" s="35">
        <f t="shared" si="3"/>
        <v>3</v>
      </c>
      <c r="AW2" s="35">
        <f t="shared" si="3"/>
        <v>5</v>
      </c>
      <c r="AX2" s="35">
        <f t="shared" si="3"/>
        <v>2</v>
      </c>
      <c r="AY2" s="35">
        <f>C37</f>
        <v>2</v>
      </c>
      <c r="AZ2" s="35">
        <f t="shared" ref="AZ2:BJ3" si="4">D37</f>
        <v>1</v>
      </c>
      <c r="BA2" s="35">
        <f t="shared" si="4"/>
        <v>1</v>
      </c>
      <c r="BB2" s="35">
        <f t="shared" si="4"/>
        <v>2</v>
      </c>
      <c r="BC2" s="35">
        <f t="shared" si="4"/>
        <v>0</v>
      </c>
      <c r="BD2" s="35">
        <f t="shared" si="4"/>
        <v>3</v>
      </c>
      <c r="BE2" s="35">
        <f t="shared" si="4"/>
        <v>1</v>
      </c>
      <c r="BF2" s="35">
        <f t="shared" si="4"/>
        <v>1</v>
      </c>
      <c r="BG2" s="35">
        <f t="shared" si="4"/>
        <v>1</v>
      </c>
      <c r="BH2" s="35">
        <f t="shared" si="4"/>
        <v>0</v>
      </c>
      <c r="BI2" s="35">
        <f t="shared" si="4"/>
        <v>1</v>
      </c>
      <c r="BJ2" s="35">
        <f t="shared" si="4"/>
        <v>3</v>
      </c>
      <c r="BK2" s="10">
        <f>SUM(C2:BJ2)</f>
        <v>138</v>
      </c>
    </row>
    <row r="3" spans="2:63" x14ac:dyDescent="0.15">
      <c r="B3" s="3" t="s">
        <v>2</v>
      </c>
      <c r="C3" s="3">
        <v>0</v>
      </c>
      <c r="D3" s="3">
        <v>3</v>
      </c>
      <c r="E3" s="3">
        <v>0</v>
      </c>
      <c r="F3" s="3">
        <v>2</v>
      </c>
      <c r="G3" s="3">
        <v>0</v>
      </c>
      <c r="H3" s="3">
        <v>0</v>
      </c>
      <c r="I3" s="3">
        <v>3</v>
      </c>
      <c r="J3" s="3">
        <v>2</v>
      </c>
      <c r="K3" s="3">
        <v>3</v>
      </c>
      <c r="L3" s="3">
        <v>1</v>
      </c>
      <c r="M3" s="3">
        <v>0</v>
      </c>
      <c r="N3" s="2">
        <v>7</v>
      </c>
      <c r="O3" s="3">
        <f t="shared" si="1"/>
        <v>1</v>
      </c>
      <c r="P3" s="3">
        <f t="shared" si="0"/>
        <v>0</v>
      </c>
      <c r="Q3" s="3">
        <f t="shared" si="0"/>
        <v>0</v>
      </c>
      <c r="R3" s="3">
        <f t="shared" si="1"/>
        <v>0</v>
      </c>
      <c r="S3" s="3">
        <f t="shared" si="1"/>
        <v>2</v>
      </c>
      <c r="T3" s="3">
        <f t="shared" si="1"/>
        <v>0</v>
      </c>
      <c r="U3" s="3">
        <f t="shared" si="1"/>
        <v>0</v>
      </c>
      <c r="V3" s="3">
        <f t="shared" si="1"/>
        <v>1</v>
      </c>
      <c r="W3" s="3">
        <f t="shared" si="1"/>
        <v>0</v>
      </c>
      <c r="X3" s="3">
        <f t="shared" si="1"/>
        <v>1</v>
      </c>
      <c r="Y3" s="3">
        <f t="shared" si="1"/>
        <v>0</v>
      </c>
      <c r="Z3" s="3">
        <f t="shared" si="1"/>
        <v>0</v>
      </c>
      <c r="AA3" s="3">
        <f t="shared" ref="AA3:AA5" si="5">C24</f>
        <v>0</v>
      </c>
      <c r="AB3" s="3">
        <f t="shared" si="2"/>
        <v>0</v>
      </c>
      <c r="AC3" s="3">
        <f t="shared" si="2"/>
        <v>0</v>
      </c>
      <c r="AD3" s="3">
        <f t="shared" si="2"/>
        <v>0</v>
      </c>
      <c r="AE3" s="3">
        <f t="shared" si="2"/>
        <v>0</v>
      </c>
      <c r="AF3" s="3">
        <f t="shared" si="2"/>
        <v>0</v>
      </c>
      <c r="AG3" s="3">
        <f t="shared" si="2"/>
        <v>1</v>
      </c>
      <c r="AH3" s="3">
        <f t="shared" si="2"/>
        <v>0</v>
      </c>
      <c r="AI3" s="3">
        <f t="shared" si="2"/>
        <v>1</v>
      </c>
      <c r="AJ3" s="3">
        <f t="shared" si="2"/>
        <v>0</v>
      </c>
      <c r="AK3" s="3">
        <f t="shared" si="2"/>
        <v>0</v>
      </c>
      <c r="AL3" s="3">
        <f t="shared" si="2"/>
        <v>0</v>
      </c>
      <c r="AM3" s="35">
        <f t="shared" ref="AM3:AM5" si="6">C31</f>
        <v>0</v>
      </c>
      <c r="AN3" s="35">
        <f t="shared" si="3"/>
        <v>2</v>
      </c>
      <c r="AO3" s="35">
        <f t="shared" si="3"/>
        <v>0</v>
      </c>
      <c r="AP3" s="35">
        <f t="shared" si="3"/>
        <v>0</v>
      </c>
      <c r="AQ3" s="35">
        <f t="shared" si="3"/>
        <v>0</v>
      </c>
      <c r="AR3" s="35">
        <f t="shared" si="3"/>
        <v>0</v>
      </c>
      <c r="AS3" s="35">
        <f t="shared" si="3"/>
        <v>0</v>
      </c>
      <c r="AT3" s="35">
        <f t="shared" si="3"/>
        <v>0</v>
      </c>
      <c r="AU3" s="35">
        <f t="shared" si="3"/>
        <v>0</v>
      </c>
      <c r="AV3" s="35">
        <f t="shared" si="3"/>
        <v>2</v>
      </c>
      <c r="AW3" s="35">
        <f t="shared" si="3"/>
        <v>5</v>
      </c>
      <c r="AX3" s="35">
        <f t="shared" si="3"/>
        <v>2</v>
      </c>
      <c r="AY3" s="35">
        <f t="shared" ref="AY3" si="7">C38</f>
        <v>1</v>
      </c>
      <c r="AZ3" s="35">
        <f t="shared" si="4"/>
        <v>0</v>
      </c>
      <c r="BA3" s="35">
        <f t="shared" si="4"/>
        <v>0</v>
      </c>
      <c r="BB3" s="35">
        <f t="shared" si="4"/>
        <v>2</v>
      </c>
      <c r="BC3" s="35">
        <f t="shared" si="4"/>
        <v>0</v>
      </c>
      <c r="BD3" s="35">
        <f t="shared" si="4"/>
        <v>1</v>
      </c>
      <c r="BE3" s="35">
        <f t="shared" si="4"/>
        <v>1</v>
      </c>
      <c r="BF3" s="35">
        <f t="shared" si="4"/>
        <v>1</v>
      </c>
      <c r="BG3" s="35">
        <f t="shared" si="4"/>
        <v>1</v>
      </c>
      <c r="BH3" s="35">
        <f t="shared" si="4"/>
        <v>0</v>
      </c>
      <c r="BI3" s="35">
        <f t="shared" si="4"/>
        <v>1</v>
      </c>
      <c r="BJ3" s="35">
        <f t="shared" si="4"/>
        <v>3</v>
      </c>
      <c r="BK3" s="10">
        <f t="shared" ref="BK3:BK5" si="8">SUM(C3:BJ3)</f>
        <v>50</v>
      </c>
    </row>
    <row r="4" spans="2:63" x14ac:dyDescent="0.15">
      <c r="B4" s="3" t="s">
        <v>1</v>
      </c>
      <c r="C4" s="3">
        <v>4</v>
      </c>
      <c r="D4" s="3">
        <v>2</v>
      </c>
      <c r="E4" s="3">
        <v>1</v>
      </c>
      <c r="F4" s="3">
        <v>0</v>
      </c>
      <c r="G4" s="3">
        <v>1</v>
      </c>
      <c r="H4" s="3">
        <v>1</v>
      </c>
      <c r="I4" s="3">
        <v>1</v>
      </c>
      <c r="J4" s="3">
        <v>1</v>
      </c>
      <c r="K4" s="3">
        <v>0</v>
      </c>
      <c r="L4" s="3">
        <v>0</v>
      </c>
      <c r="M4" s="3">
        <v>2</v>
      </c>
      <c r="N4" s="2">
        <v>1</v>
      </c>
      <c r="O4" s="3">
        <f t="shared" si="1"/>
        <v>0</v>
      </c>
      <c r="P4" s="3">
        <f t="shared" si="0"/>
        <v>1</v>
      </c>
      <c r="Q4" s="3">
        <f t="shared" si="0"/>
        <v>0</v>
      </c>
      <c r="R4" s="3">
        <f t="shared" si="1"/>
        <v>1</v>
      </c>
      <c r="S4" s="3">
        <f t="shared" si="1"/>
        <v>0</v>
      </c>
      <c r="T4" s="3">
        <f t="shared" si="1"/>
        <v>4</v>
      </c>
      <c r="U4" s="3">
        <f t="shared" si="1"/>
        <v>2</v>
      </c>
      <c r="V4" s="3">
        <f t="shared" si="1"/>
        <v>1</v>
      </c>
      <c r="W4" s="3">
        <f t="shared" si="1"/>
        <v>0</v>
      </c>
      <c r="X4" s="3">
        <f t="shared" si="1"/>
        <v>2</v>
      </c>
      <c r="Y4" s="3">
        <f t="shared" si="1"/>
        <v>1</v>
      </c>
      <c r="Z4" s="29">
        <f t="shared" si="1"/>
        <v>1</v>
      </c>
      <c r="AA4" s="3">
        <f t="shared" si="5"/>
        <v>0</v>
      </c>
      <c r="AB4" s="3">
        <f t="shared" si="2"/>
        <v>2</v>
      </c>
      <c r="AC4" s="3">
        <f t="shared" si="2"/>
        <v>3</v>
      </c>
      <c r="AD4" s="3">
        <f t="shared" si="2"/>
        <v>0</v>
      </c>
      <c r="AE4" s="3">
        <f t="shared" si="2"/>
        <v>0</v>
      </c>
      <c r="AF4" s="3">
        <f t="shared" si="2"/>
        <v>0</v>
      </c>
      <c r="AG4" s="3">
        <f t="shared" si="2"/>
        <v>1</v>
      </c>
      <c r="AH4" s="3">
        <f t="shared" si="2"/>
        <v>1</v>
      </c>
      <c r="AI4" s="3">
        <f t="shared" si="2"/>
        <v>0</v>
      </c>
      <c r="AJ4" s="3">
        <f t="shared" si="2"/>
        <v>0</v>
      </c>
      <c r="AK4" s="3">
        <f t="shared" si="2"/>
        <v>1</v>
      </c>
      <c r="AL4" s="3">
        <f t="shared" si="2"/>
        <v>1</v>
      </c>
      <c r="AM4" s="35">
        <f t="shared" si="6"/>
        <v>13</v>
      </c>
      <c r="AN4" s="35">
        <f t="shared" si="3"/>
        <v>0</v>
      </c>
      <c r="AO4" s="35">
        <f t="shared" si="3"/>
        <v>0</v>
      </c>
      <c r="AP4" s="35">
        <f t="shared" si="3"/>
        <v>0</v>
      </c>
      <c r="AQ4" s="35">
        <f t="shared" si="3"/>
        <v>0</v>
      </c>
      <c r="AR4" s="35">
        <f t="shared" si="3"/>
        <v>0</v>
      </c>
      <c r="AS4" s="35">
        <f t="shared" si="3"/>
        <v>1</v>
      </c>
      <c r="AT4" s="35">
        <f t="shared" si="3"/>
        <v>0</v>
      </c>
      <c r="AU4" s="35">
        <f t="shared" si="3"/>
        <v>0</v>
      </c>
      <c r="AV4" s="35">
        <f t="shared" si="3"/>
        <v>0</v>
      </c>
      <c r="AW4" s="35">
        <f t="shared" si="3"/>
        <v>0</v>
      </c>
      <c r="AX4" s="35">
        <f t="shared" si="3"/>
        <v>0</v>
      </c>
      <c r="AY4" s="35">
        <f t="shared" ref="AY4:BJ5" si="9">C40</f>
        <v>2</v>
      </c>
      <c r="AZ4" s="35">
        <f t="shared" si="9"/>
        <v>3</v>
      </c>
      <c r="BA4" s="35">
        <f t="shared" si="9"/>
        <v>0</v>
      </c>
      <c r="BB4" s="35">
        <f t="shared" si="9"/>
        <v>0</v>
      </c>
      <c r="BC4" s="35">
        <f t="shared" si="9"/>
        <v>0</v>
      </c>
      <c r="BD4" s="35">
        <f t="shared" si="9"/>
        <v>0</v>
      </c>
      <c r="BE4" s="35">
        <f t="shared" si="9"/>
        <v>0</v>
      </c>
      <c r="BF4" s="35">
        <f t="shared" si="9"/>
        <v>0</v>
      </c>
      <c r="BG4" s="35">
        <f t="shared" si="9"/>
        <v>0</v>
      </c>
      <c r="BH4" s="35">
        <f t="shared" si="9"/>
        <v>0</v>
      </c>
      <c r="BI4" s="35">
        <f t="shared" si="9"/>
        <v>1</v>
      </c>
      <c r="BJ4" s="35">
        <f t="shared" si="9"/>
        <v>0</v>
      </c>
      <c r="BK4" s="10">
        <f t="shared" si="8"/>
        <v>56</v>
      </c>
    </row>
    <row r="5" spans="2:63" ht="16.5" thickBot="1" x14ac:dyDescent="0.2">
      <c r="B5" s="3" t="s">
        <v>0</v>
      </c>
      <c r="C5" s="3">
        <v>59</v>
      </c>
      <c r="D5" s="3">
        <v>24</v>
      </c>
      <c r="E5" s="3">
        <v>18</v>
      </c>
      <c r="F5" s="3">
        <v>23</v>
      </c>
      <c r="G5" s="3">
        <v>11</v>
      </c>
      <c r="H5" s="3">
        <v>3</v>
      </c>
      <c r="I5" s="3">
        <v>12</v>
      </c>
      <c r="J5" s="3">
        <v>12</v>
      </c>
      <c r="K5" s="3">
        <v>15</v>
      </c>
      <c r="L5" s="3">
        <v>14</v>
      </c>
      <c r="M5" s="3">
        <v>6</v>
      </c>
      <c r="N5" s="2">
        <v>15</v>
      </c>
      <c r="O5" s="19">
        <f t="shared" si="1"/>
        <v>14</v>
      </c>
      <c r="P5" s="19">
        <f t="shared" si="0"/>
        <v>5</v>
      </c>
      <c r="Q5" s="19">
        <f t="shared" si="0"/>
        <v>21</v>
      </c>
      <c r="R5" s="19">
        <f t="shared" si="1"/>
        <v>1</v>
      </c>
      <c r="S5" s="19">
        <f t="shared" si="1"/>
        <v>9</v>
      </c>
      <c r="T5" s="19">
        <f t="shared" si="1"/>
        <v>8</v>
      </c>
      <c r="U5" s="19">
        <f t="shared" si="1"/>
        <v>10</v>
      </c>
      <c r="V5" s="19">
        <f t="shared" si="1"/>
        <v>8</v>
      </c>
      <c r="W5" s="19">
        <f t="shared" si="1"/>
        <v>7</v>
      </c>
      <c r="X5" s="19">
        <f t="shared" si="1"/>
        <v>4</v>
      </c>
      <c r="Y5" s="19">
        <f t="shared" si="1"/>
        <v>2</v>
      </c>
      <c r="Z5" s="30">
        <f t="shared" si="1"/>
        <v>6</v>
      </c>
      <c r="AA5" s="3">
        <f t="shared" si="5"/>
        <v>4</v>
      </c>
      <c r="AB5" s="3">
        <f t="shared" si="2"/>
        <v>2</v>
      </c>
      <c r="AC5" s="3">
        <f t="shared" si="2"/>
        <v>6</v>
      </c>
      <c r="AD5" s="3">
        <f t="shared" si="2"/>
        <v>4</v>
      </c>
      <c r="AE5" s="3">
        <f t="shared" si="2"/>
        <v>4</v>
      </c>
      <c r="AF5" s="3">
        <f t="shared" si="2"/>
        <v>5</v>
      </c>
      <c r="AG5" s="3">
        <f t="shared" si="2"/>
        <v>10</v>
      </c>
      <c r="AH5" s="3">
        <f t="shared" si="2"/>
        <v>4</v>
      </c>
      <c r="AI5" s="3">
        <f t="shared" si="2"/>
        <v>7</v>
      </c>
      <c r="AJ5" s="3">
        <f t="shared" si="2"/>
        <v>3</v>
      </c>
      <c r="AK5" s="3">
        <f t="shared" si="2"/>
        <v>6</v>
      </c>
      <c r="AL5" s="3">
        <f t="shared" si="2"/>
        <v>3</v>
      </c>
      <c r="AM5" s="36">
        <f t="shared" si="6"/>
        <v>5</v>
      </c>
      <c r="AN5" s="36">
        <f t="shared" si="3"/>
        <v>4</v>
      </c>
      <c r="AO5" s="36">
        <f t="shared" si="3"/>
        <v>0</v>
      </c>
      <c r="AP5" s="36">
        <f t="shared" si="3"/>
        <v>4</v>
      </c>
      <c r="AQ5" s="36">
        <f t="shared" si="3"/>
        <v>11</v>
      </c>
      <c r="AR5" s="36">
        <f t="shared" si="3"/>
        <v>8</v>
      </c>
      <c r="AS5" s="36">
        <f t="shared" si="3"/>
        <v>3</v>
      </c>
      <c r="AT5" s="36">
        <f t="shared" si="3"/>
        <v>2</v>
      </c>
      <c r="AU5" s="36">
        <f t="shared" si="3"/>
        <v>1</v>
      </c>
      <c r="AV5" s="36">
        <f t="shared" si="3"/>
        <v>6</v>
      </c>
      <c r="AW5" s="36">
        <f t="shared" si="3"/>
        <v>8</v>
      </c>
      <c r="AX5" s="36">
        <f t="shared" si="3"/>
        <v>5</v>
      </c>
      <c r="AY5" s="36">
        <f t="shared" si="9"/>
        <v>8</v>
      </c>
      <c r="AZ5" s="35">
        <f t="shared" si="9"/>
        <v>2</v>
      </c>
      <c r="BA5" s="35">
        <f t="shared" si="9"/>
        <v>4</v>
      </c>
      <c r="BB5" s="35">
        <f t="shared" si="9"/>
        <v>4</v>
      </c>
      <c r="BC5" s="35">
        <f t="shared" si="9"/>
        <v>2</v>
      </c>
      <c r="BD5" s="35">
        <f t="shared" si="9"/>
        <v>1</v>
      </c>
      <c r="BE5" s="35">
        <f t="shared" si="9"/>
        <v>5</v>
      </c>
      <c r="BF5" s="35">
        <f t="shared" si="9"/>
        <v>1</v>
      </c>
      <c r="BG5" s="35">
        <f t="shared" si="9"/>
        <v>1</v>
      </c>
      <c r="BH5" s="35">
        <f t="shared" si="9"/>
        <v>1</v>
      </c>
      <c r="BI5" s="35">
        <f t="shared" si="9"/>
        <v>9</v>
      </c>
      <c r="BJ5" s="35">
        <f t="shared" si="9"/>
        <v>6</v>
      </c>
      <c r="BK5" s="10">
        <f t="shared" si="8"/>
        <v>466</v>
      </c>
    </row>
    <row r="6" spans="2:63" x14ac:dyDescent="0.15"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BK6" s="12"/>
    </row>
    <row r="7" spans="2:63" s="4" customFormat="1" ht="16.5" thickBot="1" x14ac:dyDescent="0.2">
      <c r="B7" s="20" t="s">
        <v>21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63" x14ac:dyDescent="0.15">
      <c r="B8" s="25"/>
      <c r="C8" s="16" t="s">
        <v>20</v>
      </c>
      <c r="D8" s="16" t="s">
        <v>12</v>
      </c>
      <c r="E8" s="16" t="s">
        <v>11</v>
      </c>
      <c r="F8" s="16" t="s">
        <v>10</v>
      </c>
      <c r="G8" s="16" t="s">
        <v>9</v>
      </c>
      <c r="H8" s="16" t="s">
        <v>8</v>
      </c>
      <c r="I8" s="16" t="s">
        <v>17</v>
      </c>
      <c r="J8" s="16" t="s">
        <v>7</v>
      </c>
      <c r="K8" s="16" t="s">
        <v>6</v>
      </c>
      <c r="L8" s="16" t="s">
        <v>5</v>
      </c>
      <c r="M8" s="16" t="s">
        <v>16</v>
      </c>
      <c r="N8" s="16" t="s">
        <v>14</v>
      </c>
      <c r="O8" s="22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63" x14ac:dyDescent="0.15">
      <c r="B9" s="33" t="s">
        <v>3</v>
      </c>
      <c r="C9" s="3">
        <v>0</v>
      </c>
      <c r="D9" s="3">
        <v>2</v>
      </c>
      <c r="E9" s="3">
        <v>1</v>
      </c>
      <c r="F9" s="3">
        <v>7</v>
      </c>
      <c r="G9" s="3">
        <v>0</v>
      </c>
      <c r="H9" s="3">
        <v>2</v>
      </c>
      <c r="I9" s="3">
        <v>3</v>
      </c>
      <c r="J9" s="3">
        <v>4</v>
      </c>
      <c r="K9" s="3">
        <v>6</v>
      </c>
      <c r="L9" s="3">
        <v>3</v>
      </c>
      <c r="M9" s="3">
        <v>3</v>
      </c>
      <c r="N9" s="2">
        <v>10</v>
      </c>
      <c r="O9" s="23">
        <f>SUM(C9:N9)</f>
        <v>41</v>
      </c>
      <c r="AA9" s="12"/>
    </row>
    <row r="10" spans="2:63" x14ac:dyDescent="0.15">
      <c r="B10" s="33" t="s">
        <v>2</v>
      </c>
      <c r="C10" s="3">
        <v>0</v>
      </c>
      <c r="D10" s="3">
        <v>3</v>
      </c>
      <c r="E10" s="3">
        <v>0</v>
      </c>
      <c r="F10" s="3">
        <v>2</v>
      </c>
      <c r="G10" s="3">
        <v>0</v>
      </c>
      <c r="H10" s="3">
        <v>0</v>
      </c>
      <c r="I10" s="3">
        <v>3</v>
      </c>
      <c r="J10" s="3">
        <v>2</v>
      </c>
      <c r="K10" s="3">
        <v>3</v>
      </c>
      <c r="L10" s="3">
        <v>1</v>
      </c>
      <c r="M10" s="3">
        <v>0</v>
      </c>
      <c r="N10" s="2">
        <v>7</v>
      </c>
      <c r="O10" s="23">
        <f>SUM(C10:N10)</f>
        <v>21</v>
      </c>
      <c r="AA10" s="12"/>
    </row>
    <row r="11" spans="2:63" x14ac:dyDescent="0.15">
      <c r="B11" s="33" t="s">
        <v>1</v>
      </c>
      <c r="C11" s="3">
        <v>4</v>
      </c>
      <c r="D11" s="3">
        <v>2</v>
      </c>
      <c r="E11" s="3">
        <v>1</v>
      </c>
      <c r="F11" s="3">
        <v>0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2</v>
      </c>
      <c r="N11" s="2">
        <v>1</v>
      </c>
      <c r="O11" s="23">
        <f>SUM(C11:N11)</f>
        <v>14</v>
      </c>
      <c r="AA11" s="12"/>
    </row>
    <row r="12" spans="2:63" ht="18" customHeight="1" thickBot="1" x14ac:dyDescent="0.2">
      <c r="B12" s="34" t="s">
        <v>0</v>
      </c>
      <c r="C12" s="19">
        <v>59</v>
      </c>
      <c r="D12" s="19">
        <v>24</v>
      </c>
      <c r="E12" s="19">
        <v>18</v>
      </c>
      <c r="F12" s="19">
        <v>23</v>
      </c>
      <c r="G12" s="19">
        <v>11</v>
      </c>
      <c r="H12" s="19">
        <v>3</v>
      </c>
      <c r="I12" s="19">
        <v>12</v>
      </c>
      <c r="J12" s="19">
        <v>12</v>
      </c>
      <c r="K12" s="19">
        <v>15</v>
      </c>
      <c r="L12" s="19">
        <v>14</v>
      </c>
      <c r="M12" s="19">
        <v>6</v>
      </c>
      <c r="N12" s="27">
        <v>15</v>
      </c>
      <c r="O12" s="24">
        <f>SUM(C12:N12)</f>
        <v>212</v>
      </c>
      <c r="AA12" s="12"/>
    </row>
    <row r="13" spans="2:63" s="7" customFormat="1" x14ac:dyDescent="0.15"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63" s="4" customFormat="1" ht="16.5" thickBot="1" x14ac:dyDescent="0.2">
      <c r="B14" s="20" t="s">
        <v>22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63" x14ac:dyDescent="0.15">
      <c r="B15" s="25"/>
      <c r="C15" s="16" t="s">
        <v>20</v>
      </c>
      <c r="D15" s="16" t="s">
        <v>12</v>
      </c>
      <c r="E15" s="16" t="s">
        <v>11</v>
      </c>
      <c r="F15" s="16" t="s">
        <v>10</v>
      </c>
      <c r="G15" s="16" t="s">
        <v>9</v>
      </c>
      <c r="H15" s="16" t="s">
        <v>8</v>
      </c>
      <c r="I15" s="16" t="s">
        <v>17</v>
      </c>
      <c r="J15" s="16" t="s">
        <v>7</v>
      </c>
      <c r="K15" s="16" t="s">
        <v>6</v>
      </c>
      <c r="L15" s="16" t="s">
        <v>5</v>
      </c>
      <c r="M15" s="16" t="s">
        <v>16</v>
      </c>
      <c r="N15" s="16" t="s">
        <v>14</v>
      </c>
      <c r="O15" s="26" t="s">
        <v>15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63" x14ac:dyDescent="0.15">
      <c r="B16" s="17" t="s">
        <v>3</v>
      </c>
      <c r="C16" s="3">
        <v>4</v>
      </c>
      <c r="D16" s="3">
        <v>2</v>
      </c>
      <c r="E16" s="3">
        <v>2</v>
      </c>
      <c r="F16" s="3">
        <v>2</v>
      </c>
      <c r="G16" s="3">
        <v>5</v>
      </c>
      <c r="H16" s="3">
        <v>7</v>
      </c>
      <c r="I16" s="3">
        <v>5</v>
      </c>
      <c r="J16" s="3">
        <v>4</v>
      </c>
      <c r="K16" s="3">
        <v>2</v>
      </c>
      <c r="L16" s="3">
        <v>4</v>
      </c>
      <c r="M16" s="3">
        <v>2</v>
      </c>
      <c r="N16" s="2">
        <v>1</v>
      </c>
      <c r="O16" s="23">
        <f>SUM(C16:N16)+O9</f>
        <v>81</v>
      </c>
      <c r="AA16" s="12"/>
    </row>
    <row r="17" spans="2:27" x14ac:dyDescent="0.15">
      <c r="B17" s="17" t="s">
        <v>2</v>
      </c>
      <c r="C17" s="3">
        <v>1</v>
      </c>
      <c r="D17" s="3">
        <v>0</v>
      </c>
      <c r="E17" s="3">
        <v>0</v>
      </c>
      <c r="F17" s="3">
        <v>0</v>
      </c>
      <c r="G17" s="3">
        <v>2</v>
      </c>
      <c r="H17" s="3">
        <v>0</v>
      </c>
      <c r="I17" s="3">
        <v>0</v>
      </c>
      <c r="J17" s="3">
        <v>1</v>
      </c>
      <c r="K17" s="3">
        <v>0</v>
      </c>
      <c r="L17" s="3">
        <v>1</v>
      </c>
      <c r="M17" s="3">
        <v>0</v>
      </c>
      <c r="N17" s="2">
        <v>0</v>
      </c>
      <c r="O17" s="23">
        <f t="shared" ref="O17:O18" si="10">SUM(C17:N17)+O10</f>
        <v>26</v>
      </c>
      <c r="AA17" s="12"/>
    </row>
    <row r="18" spans="2:27" x14ac:dyDescent="0.15">
      <c r="B18" s="17" t="s">
        <v>1</v>
      </c>
      <c r="C18" s="3">
        <v>0</v>
      </c>
      <c r="D18" s="3">
        <v>1</v>
      </c>
      <c r="E18" s="3">
        <v>0</v>
      </c>
      <c r="F18" s="3">
        <v>1</v>
      </c>
      <c r="G18" s="3">
        <v>0</v>
      </c>
      <c r="H18" s="3">
        <v>4</v>
      </c>
      <c r="I18" s="3">
        <v>2</v>
      </c>
      <c r="J18" s="3">
        <v>1</v>
      </c>
      <c r="K18" s="3">
        <v>0</v>
      </c>
      <c r="L18" s="3">
        <v>2</v>
      </c>
      <c r="M18" s="3">
        <v>1</v>
      </c>
      <c r="N18" s="2">
        <v>1</v>
      </c>
      <c r="O18" s="23">
        <f t="shared" si="10"/>
        <v>27</v>
      </c>
      <c r="AA18" s="12"/>
    </row>
    <row r="19" spans="2:27" ht="18.75" customHeight="1" thickBot="1" x14ac:dyDescent="0.2">
      <c r="B19" s="18" t="s">
        <v>0</v>
      </c>
      <c r="C19" s="19">
        <v>14</v>
      </c>
      <c r="D19" s="19">
        <v>5</v>
      </c>
      <c r="E19" s="19">
        <v>21</v>
      </c>
      <c r="F19" s="19">
        <v>1</v>
      </c>
      <c r="G19" s="19">
        <v>9</v>
      </c>
      <c r="H19" s="19">
        <v>8</v>
      </c>
      <c r="I19" s="19">
        <v>10</v>
      </c>
      <c r="J19" s="19">
        <v>8</v>
      </c>
      <c r="K19" s="19">
        <v>7</v>
      </c>
      <c r="L19" s="19">
        <v>4</v>
      </c>
      <c r="M19" s="19">
        <v>2</v>
      </c>
      <c r="N19" s="27">
        <v>6</v>
      </c>
      <c r="O19" s="24">
        <f>SUM(C19:N19)+O12</f>
        <v>307</v>
      </c>
      <c r="AA19" s="12"/>
    </row>
    <row r="20" spans="2:27" ht="11.25" customHeight="1" x14ac:dyDescent="0.15">
      <c r="O20" s="12"/>
      <c r="AA20" s="12"/>
    </row>
    <row r="21" spans="2:27" s="7" customFormat="1" ht="16.5" thickBot="1" x14ac:dyDescent="0.2">
      <c r="B21" s="32" t="s">
        <v>23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5"/>
      <c r="C22" s="16" t="s">
        <v>20</v>
      </c>
      <c r="D22" s="16" t="s">
        <v>12</v>
      </c>
      <c r="E22" s="16" t="s">
        <v>11</v>
      </c>
      <c r="F22" s="16" t="s">
        <v>10</v>
      </c>
      <c r="G22" s="16" t="s">
        <v>9</v>
      </c>
      <c r="H22" s="16" t="s">
        <v>8</v>
      </c>
      <c r="I22" s="16" t="s">
        <v>17</v>
      </c>
      <c r="J22" s="16" t="s">
        <v>7</v>
      </c>
      <c r="K22" s="16" t="s">
        <v>6</v>
      </c>
      <c r="L22" s="16" t="s">
        <v>5</v>
      </c>
      <c r="M22" s="16" t="s">
        <v>16</v>
      </c>
      <c r="N22" s="16" t="s">
        <v>14</v>
      </c>
      <c r="O22" s="26" t="s">
        <v>15</v>
      </c>
      <c r="AA22" s="15"/>
    </row>
    <row r="23" spans="2:27" x14ac:dyDescent="0.15">
      <c r="B23" s="17" t="s">
        <v>3</v>
      </c>
      <c r="C23" s="3">
        <v>2</v>
      </c>
      <c r="D23" s="3">
        <v>1</v>
      </c>
      <c r="E23" s="3">
        <v>4</v>
      </c>
      <c r="F23" s="3">
        <v>2</v>
      </c>
      <c r="G23" s="3">
        <v>0</v>
      </c>
      <c r="H23" s="3">
        <v>3</v>
      </c>
      <c r="I23" s="3">
        <v>1</v>
      </c>
      <c r="J23" s="3">
        <v>1</v>
      </c>
      <c r="K23" s="3">
        <v>4</v>
      </c>
      <c r="L23" s="3">
        <v>0</v>
      </c>
      <c r="M23" s="3">
        <v>3</v>
      </c>
      <c r="N23" s="2">
        <v>1</v>
      </c>
      <c r="O23" s="23">
        <f>SUM(C23:N23)+O16</f>
        <v>103</v>
      </c>
      <c r="AA23" s="12"/>
    </row>
    <row r="24" spans="2:27" x14ac:dyDescent="0.15">
      <c r="B24" s="17" t="s">
        <v>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1</v>
      </c>
      <c r="L24" s="3">
        <v>0</v>
      </c>
      <c r="M24" s="3">
        <v>0</v>
      </c>
      <c r="N24" s="2">
        <v>0</v>
      </c>
      <c r="O24" s="23">
        <f>SUM(C24:N24)+O17</f>
        <v>28</v>
      </c>
      <c r="AA24" s="12"/>
    </row>
    <row r="25" spans="2:27" x14ac:dyDescent="0.15">
      <c r="B25" s="17" t="s">
        <v>1</v>
      </c>
      <c r="C25" s="3">
        <v>0</v>
      </c>
      <c r="D25" s="3">
        <v>2</v>
      </c>
      <c r="E25" s="3">
        <v>3</v>
      </c>
      <c r="F25" s="3">
        <v>0</v>
      </c>
      <c r="G25" s="3">
        <v>0</v>
      </c>
      <c r="H25" s="3">
        <v>0</v>
      </c>
      <c r="I25" s="3">
        <v>1</v>
      </c>
      <c r="J25" s="3">
        <v>1</v>
      </c>
      <c r="K25" s="3">
        <v>0</v>
      </c>
      <c r="L25" s="3">
        <v>0</v>
      </c>
      <c r="M25" s="3">
        <v>1</v>
      </c>
      <c r="N25" s="2">
        <v>1</v>
      </c>
      <c r="O25" s="23">
        <f>SUM(C25:N25)+O18</f>
        <v>36</v>
      </c>
      <c r="AA25" s="12"/>
    </row>
    <row r="26" spans="2:27" ht="16.5" thickBot="1" x14ac:dyDescent="0.2">
      <c r="B26" s="18" t="s">
        <v>0</v>
      </c>
      <c r="C26" s="19">
        <v>4</v>
      </c>
      <c r="D26" s="19">
        <v>2</v>
      </c>
      <c r="E26" s="28">
        <v>6</v>
      </c>
      <c r="F26" s="19">
        <v>4</v>
      </c>
      <c r="G26" s="19">
        <v>4</v>
      </c>
      <c r="H26" s="19">
        <v>5</v>
      </c>
      <c r="I26" s="19">
        <v>10</v>
      </c>
      <c r="J26" s="19">
        <v>4</v>
      </c>
      <c r="K26" s="19">
        <v>7</v>
      </c>
      <c r="L26" s="19">
        <v>3</v>
      </c>
      <c r="M26" s="19">
        <v>6</v>
      </c>
      <c r="N26" s="27">
        <v>3</v>
      </c>
      <c r="O26" s="24">
        <f>SUM(C26:N26)+O19</f>
        <v>365</v>
      </c>
      <c r="AA26" s="12"/>
    </row>
    <row r="27" spans="2:27" s="6" customFormat="1" ht="21" customHeight="1" x14ac:dyDescent="0.15">
      <c r="H27" s="9"/>
      <c r="J27" s="9"/>
      <c r="K27" s="9"/>
      <c r="L27" s="9"/>
      <c r="M27" s="9"/>
      <c r="N27" s="9"/>
    </row>
    <row r="28" spans="2:27" s="7" customFormat="1" ht="16.5" thickBot="1" x14ac:dyDescent="0.2">
      <c r="B28" s="32" t="s">
        <v>25</v>
      </c>
      <c r="D28" s="8"/>
      <c r="E28" s="8"/>
      <c r="F28" s="8"/>
      <c r="H28" s="9"/>
      <c r="J28" s="9"/>
      <c r="K28" s="9"/>
      <c r="L28" s="9"/>
      <c r="M28" s="9"/>
      <c r="N28" s="6"/>
      <c r="O28" s="11"/>
      <c r="AA28" s="14"/>
    </row>
    <row r="29" spans="2:27" s="4" customFormat="1" x14ac:dyDescent="0.15">
      <c r="B29" s="25"/>
      <c r="C29" s="16" t="s">
        <v>20</v>
      </c>
      <c r="D29" s="16" t="s">
        <v>12</v>
      </c>
      <c r="E29" s="16" t="s">
        <v>11</v>
      </c>
      <c r="F29" s="16" t="s">
        <v>10</v>
      </c>
      <c r="G29" s="16" t="s">
        <v>9</v>
      </c>
      <c r="H29" s="16" t="s">
        <v>8</v>
      </c>
      <c r="I29" s="16" t="s">
        <v>17</v>
      </c>
      <c r="J29" s="16" t="s">
        <v>7</v>
      </c>
      <c r="K29" s="16" t="s">
        <v>6</v>
      </c>
      <c r="L29" s="16" t="s">
        <v>5</v>
      </c>
      <c r="M29" s="16" t="s">
        <v>16</v>
      </c>
      <c r="N29" s="16" t="s">
        <v>14</v>
      </c>
      <c r="O29" s="26" t="s">
        <v>15</v>
      </c>
      <c r="AA29" s="15"/>
    </row>
    <row r="30" spans="2:27" x14ac:dyDescent="0.15">
      <c r="B30" s="17" t="s">
        <v>3</v>
      </c>
      <c r="C30" s="3">
        <v>1</v>
      </c>
      <c r="D30" s="3">
        <v>3</v>
      </c>
      <c r="E30" s="3">
        <v>0</v>
      </c>
      <c r="F30" s="3">
        <v>1</v>
      </c>
      <c r="G30" s="3">
        <v>0</v>
      </c>
      <c r="H30" s="3">
        <v>3</v>
      </c>
      <c r="I30" s="3">
        <v>0</v>
      </c>
      <c r="J30" s="3">
        <v>0</v>
      </c>
      <c r="K30" s="3">
        <v>1</v>
      </c>
      <c r="L30" s="3">
        <v>3</v>
      </c>
      <c r="M30" s="3">
        <v>5</v>
      </c>
      <c r="N30" s="2">
        <v>2</v>
      </c>
      <c r="O30" s="23">
        <f>SUM(C30:N30)+O23</f>
        <v>122</v>
      </c>
      <c r="AA30" s="12"/>
    </row>
    <row r="31" spans="2:27" x14ac:dyDescent="0.15">
      <c r="B31" s="17" t="s">
        <v>2</v>
      </c>
      <c r="C31" s="3">
        <v>0</v>
      </c>
      <c r="D31" s="3">
        <v>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2</v>
      </c>
      <c r="M31" s="3">
        <v>5</v>
      </c>
      <c r="N31" s="2">
        <v>2</v>
      </c>
      <c r="O31" s="23">
        <f>SUM(C31:N31)+O24</f>
        <v>39</v>
      </c>
      <c r="AA31" s="12"/>
    </row>
    <row r="32" spans="2:27" x14ac:dyDescent="0.15">
      <c r="B32" s="17" t="s">
        <v>1</v>
      </c>
      <c r="C32" s="3">
        <v>13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2">
        <v>0</v>
      </c>
      <c r="O32" s="23">
        <f>SUM(C32:N32)+O25</f>
        <v>50</v>
      </c>
      <c r="AA32" s="12"/>
    </row>
    <row r="33" spans="2:27" ht="16.5" thickBot="1" x14ac:dyDescent="0.2">
      <c r="B33" s="18" t="s">
        <v>0</v>
      </c>
      <c r="C33" s="19">
        <v>5</v>
      </c>
      <c r="D33" s="19">
        <v>4</v>
      </c>
      <c r="E33" s="28">
        <v>0</v>
      </c>
      <c r="F33" s="19">
        <v>4</v>
      </c>
      <c r="G33" s="19">
        <v>11</v>
      </c>
      <c r="H33" s="19">
        <v>8</v>
      </c>
      <c r="I33" s="19">
        <v>3</v>
      </c>
      <c r="J33" s="19">
        <v>2</v>
      </c>
      <c r="K33" s="19">
        <v>1</v>
      </c>
      <c r="L33" s="19">
        <v>6</v>
      </c>
      <c r="M33" s="19">
        <v>8</v>
      </c>
      <c r="N33" s="27">
        <v>5</v>
      </c>
      <c r="O33" s="24">
        <f>SUM(C33:N33)+O26</f>
        <v>422</v>
      </c>
      <c r="AA33" s="12"/>
    </row>
    <row r="34" spans="2:27" s="6" customFormat="1" ht="20.25" customHeight="1" x14ac:dyDescent="0.15">
      <c r="C34" s="9"/>
      <c r="D34" s="9"/>
      <c r="E34" s="9"/>
      <c r="F34" s="9"/>
      <c r="K34" s="9"/>
      <c r="L34" s="9"/>
      <c r="M34" s="9"/>
      <c r="N34" s="9"/>
    </row>
    <row r="35" spans="2:27" s="7" customFormat="1" ht="24" customHeight="1" thickBot="1" x14ac:dyDescent="0.2">
      <c r="B35" s="32" t="s">
        <v>26</v>
      </c>
      <c r="D35" s="8"/>
      <c r="E35" s="8"/>
      <c r="F35" s="8"/>
      <c r="H35" s="9"/>
      <c r="J35" s="9"/>
      <c r="K35" s="9"/>
      <c r="L35" s="9"/>
      <c r="M35" s="9"/>
      <c r="N35" s="6"/>
      <c r="O35" s="11"/>
      <c r="AA35" s="14"/>
    </row>
    <row r="36" spans="2:27" s="4" customFormat="1" ht="24" customHeight="1" x14ac:dyDescent="0.15">
      <c r="B36" s="25"/>
      <c r="C36" s="16" t="s">
        <v>20</v>
      </c>
      <c r="D36" s="16" t="s">
        <v>12</v>
      </c>
      <c r="E36" s="16" t="s">
        <v>11</v>
      </c>
      <c r="F36" s="16" t="s">
        <v>10</v>
      </c>
      <c r="G36" s="16" t="s">
        <v>9</v>
      </c>
      <c r="H36" s="16" t="s">
        <v>8</v>
      </c>
      <c r="I36" s="16" t="s">
        <v>17</v>
      </c>
      <c r="J36" s="16" t="s">
        <v>7</v>
      </c>
      <c r="K36" s="16" t="s">
        <v>6</v>
      </c>
      <c r="L36" s="16" t="s">
        <v>5</v>
      </c>
      <c r="M36" s="16" t="s">
        <v>16</v>
      </c>
      <c r="N36" s="16" t="s">
        <v>14</v>
      </c>
      <c r="O36" s="26" t="s">
        <v>15</v>
      </c>
      <c r="AA36" s="15"/>
    </row>
    <row r="37" spans="2:27" ht="24" customHeight="1" x14ac:dyDescent="0.15">
      <c r="B37" s="17" t="s">
        <v>3</v>
      </c>
      <c r="C37" s="3">
        <v>2</v>
      </c>
      <c r="D37" s="3">
        <v>1</v>
      </c>
      <c r="E37" s="3">
        <v>1</v>
      </c>
      <c r="F37" s="3">
        <v>2</v>
      </c>
      <c r="G37" s="3">
        <v>0</v>
      </c>
      <c r="H37" s="3">
        <v>3</v>
      </c>
      <c r="I37" s="3">
        <v>1</v>
      </c>
      <c r="J37" s="3">
        <v>1</v>
      </c>
      <c r="K37" s="3">
        <v>1</v>
      </c>
      <c r="L37" s="3">
        <v>0</v>
      </c>
      <c r="M37" s="3">
        <v>1</v>
      </c>
      <c r="N37" s="2">
        <v>3</v>
      </c>
      <c r="O37" s="23">
        <f>SUM(C37:N37)</f>
        <v>16</v>
      </c>
      <c r="AA37" s="12"/>
    </row>
    <row r="38" spans="2:27" ht="24" customHeight="1" x14ac:dyDescent="0.15">
      <c r="B38" s="17" t="s">
        <v>2</v>
      </c>
      <c r="C38" s="3">
        <v>1</v>
      </c>
      <c r="D38" s="3">
        <v>0</v>
      </c>
      <c r="E38" s="3">
        <v>0</v>
      </c>
      <c r="F38" s="3">
        <v>2</v>
      </c>
      <c r="G38" s="3">
        <v>0</v>
      </c>
      <c r="H38" s="3">
        <v>1</v>
      </c>
      <c r="I38" s="3">
        <v>1</v>
      </c>
      <c r="J38" s="3">
        <v>1</v>
      </c>
      <c r="K38" s="3">
        <v>1</v>
      </c>
      <c r="L38" s="3">
        <v>0</v>
      </c>
      <c r="M38" s="3">
        <v>1</v>
      </c>
      <c r="N38" s="2">
        <v>3</v>
      </c>
      <c r="O38" s="23">
        <f t="shared" ref="O38:O40" si="11">SUM(C38:N38)</f>
        <v>11</v>
      </c>
      <c r="AA38" s="12"/>
    </row>
    <row r="39" spans="2:27" ht="24" customHeight="1" x14ac:dyDescent="0.15">
      <c r="B39" s="17" t="s">
        <v>27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2">
        <v>0</v>
      </c>
      <c r="O39" s="23">
        <f t="shared" si="11"/>
        <v>0</v>
      </c>
      <c r="AA39" s="12"/>
    </row>
    <row r="40" spans="2:27" ht="24" customHeight="1" x14ac:dyDescent="0.15">
      <c r="B40" s="17" t="s">
        <v>1</v>
      </c>
      <c r="C40" s="3">
        <v>2</v>
      </c>
      <c r="D40" s="3">
        <v>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2">
        <v>0</v>
      </c>
      <c r="O40" s="23">
        <f t="shared" si="11"/>
        <v>6</v>
      </c>
      <c r="AA40" s="12"/>
    </row>
    <row r="41" spans="2:27" ht="24" customHeight="1" thickBot="1" x14ac:dyDescent="0.2">
      <c r="B41" s="18" t="s">
        <v>0</v>
      </c>
      <c r="C41" s="19">
        <v>8</v>
      </c>
      <c r="D41" s="19">
        <v>2</v>
      </c>
      <c r="E41" s="28">
        <v>4</v>
      </c>
      <c r="F41" s="19">
        <v>4</v>
      </c>
      <c r="G41" s="19">
        <v>2</v>
      </c>
      <c r="H41" s="19">
        <v>1</v>
      </c>
      <c r="I41" s="19">
        <v>5</v>
      </c>
      <c r="J41" s="19">
        <v>1</v>
      </c>
      <c r="K41" s="19">
        <v>1</v>
      </c>
      <c r="L41" s="19">
        <v>1</v>
      </c>
      <c r="M41" s="19">
        <v>9</v>
      </c>
      <c r="N41" s="27">
        <v>6</v>
      </c>
      <c r="O41" s="24">
        <f>SUM(C41:N41)+O33</f>
        <v>466</v>
      </c>
      <c r="AA41" s="12"/>
    </row>
    <row r="42" spans="2:27" s="6" customFormat="1" ht="24" customHeight="1" x14ac:dyDescent="0.15">
      <c r="C42" s="9"/>
      <c r="D42" s="9"/>
      <c r="E42" s="9"/>
      <c r="F42" s="9"/>
      <c r="K42" s="9"/>
      <c r="N42" s="9"/>
    </row>
    <row r="43" spans="2:27" s="7" customFormat="1" ht="24" customHeight="1" thickBot="1" x14ac:dyDescent="0.2">
      <c r="B43" s="32" t="s">
        <v>31</v>
      </c>
      <c r="D43" s="8"/>
      <c r="E43" s="8"/>
      <c r="F43" s="8"/>
      <c r="H43" s="9"/>
      <c r="J43" s="9"/>
      <c r="K43" s="9"/>
      <c r="L43" s="9"/>
      <c r="M43" s="9"/>
      <c r="N43" s="6"/>
      <c r="O43" s="11"/>
      <c r="AA43" s="14"/>
    </row>
    <row r="44" spans="2:27" s="4" customFormat="1" ht="24" customHeight="1" x14ac:dyDescent="0.15">
      <c r="B44" s="25"/>
      <c r="C44" s="16" t="s">
        <v>20</v>
      </c>
      <c r="D44" s="16" t="s">
        <v>12</v>
      </c>
      <c r="E44" s="16" t="s">
        <v>11</v>
      </c>
      <c r="F44" s="16" t="s">
        <v>10</v>
      </c>
      <c r="G44" s="16" t="s">
        <v>9</v>
      </c>
      <c r="H44" s="16" t="s">
        <v>8</v>
      </c>
      <c r="I44" s="16" t="s">
        <v>17</v>
      </c>
      <c r="J44" s="16" t="s">
        <v>7</v>
      </c>
      <c r="K44" s="16" t="s">
        <v>6</v>
      </c>
      <c r="L44" s="16" t="s">
        <v>5</v>
      </c>
      <c r="M44" s="16" t="s">
        <v>16</v>
      </c>
      <c r="N44" s="16" t="s">
        <v>14</v>
      </c>
      <c r="O44" s="26" t="s">
        <v>15</v>
      </c>
      <c r="AA44" s="15"/>
    </row>
    <row r="45" spans="2:27" ht="24" customHeight="1" x14ac:dyDescent="0.15">
      <c r="B45" s="17" t="s">
        <v>3</v>
      </c>
      <c r="C45" s="3">
        <v>0</v>
      </c>
      <c r="D45" s="3">
        <v>1</v>
      </c>
      <c r="E45" s="3">
        <v>2</v>
      </c>
      <c r="F45" s="3">
        <v>0</v>
      </c>
      <c r="G45" s="3">
        <v>3</v>
      </c>
      <c r="H45" s="3">
        <v>5</v>
      </c>
      <c r="I45" s="3">
        <v>1</v>
      </c>
      <c r="J45" s="3">
        <v>0</v>
      </c>
      <c r="K45" s="3">
        <v>3</v>
      </c>
      <c r="L45" s="3">
        <v>0</v>
      </c>
      <c r="M45" s="3">
        <v>2</v>
      </c>
      <c r="N45" s="2">
        <v>0</v>
      </c>
      <c r="O45" s="23">
        <f>SUM(C45:N45)</f>
        <v>17</v>
      </c>
      <c r="AA45" s="12"/>
    </row>
    <row r="46" spans="2:27" ht="24" customHeight="1" x14ac:dyDescent="0.15">
      <c r="B46" s="17" t="s">
        <v>2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1</v>
      </c>
      <c r="N46" s="2">
        <v>0</v>
      </c>
      <c r="O46" s="23">
        <f t="shared" ref="O46:O49" si="12">SUM(C46:N46)</f>
        <v>1</v>
      </c>
      <c r="AA46" s="12"/>
    </row>
    <row r="47" spans="2:27" ht="24" customHeight="1" x14ac:dyDescent="0.15">
      <c r="B47" s="17" t="s">
        <v>27</v>
      </c>
      <c r="C47" s="3">
        <v>0</v>
      </c>
      <c r="D47" s="3">
        <v>0</v>
      </c>
      <c r="E47" s="3">
        <v>2</v>
      </c>
      <c r="F47" s="3">
        <v>0</v>
      </c>
      <c r="G47" s="3">
        <v>0</v>
      </c>
      <c r="H47" s="3">
        <v>1</v>
      </c>
      <c r="I47" s="3">
        <v>1</v>
      </c>
      <c r="J47" s="3">
        <v>0</v>
      </c>
      <c r="K47" s="3">
        <v>2</v>
      </c>
      <c r="L47" s="3">
        <v>0</v>
      </c>
      <c r="M47" s="3">
        <v>1</v>
      </c>
      <c r="N47" s="2">
        <v>0</v>
      </c>
      <c r="O47" s="23">
        <f t="shared" si="12"/>
        <v>7</v>
      </c>
      <c r="AA47" s="12"/>
    </row>
    <row r="48" spans="2:27" ht="24" customHeight="1" x14ac:dyDescent="0.15">
      <c r="B48" s="17" t="s">
        <v>1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2</v>
      </c>
      <c r="N48" s="2">
        <v>0</v>
      </c>
      <c r="O48" s="23">
        <f t="shared" si="12"/>
        <v>2</v>
      </c>
      <c r="AA48" s="12"/>
    </row>
    <row r="49" spans="2:27" ht="24" customHeight="1" x14ac:dyDescent="0.15">
      <c r="B49" s="17" t="s">
        <v>30</v>
      </c>
      <c r="C49" s="3">
        <v>20</v>
      </c>
      <c r="D49" s="3">
        <v>7</v>
      </c>
      <c r="E49" s="3">
        <v>9</v>
      </c>
      <c r="F49" s="3">
        <v>13</v>
      </c>
      <c r="G49" s="3">
        <v>11</v>
      </c>
      <c r="H49" s="3">
        <v>16</v>
      </c>
      <c r="I49" s="3">
        <v>16</v>
      </c>
      <c r="J49" s="3">
        <v>17</v>
      </c>
      <c r="K49" s="3">
        <v>26</v>
      </c>
      <c r="L49" s="3">
        <v>16</v>
      </c>
      <c r="M49" s="3">
        <v>27</v>
      </c>
      <c r="N49" s="2">
        <v>15</v>
      </c>
      <c r="O49" s="23">
        <f t="shared" si="12"/>
        <v>193</v>
      </c>
      <c r="AA49" s="12"/>
    </row>
    <row r="50" spans="2:27" ht="24" customHeight="1" thickBot="1" x14ac:dyDescent="0.2">
      <c r="B50" s="18" t="s">
        <v>0</v>
      </c>
      <c r="C50" s="19">
        <v>6</v>
      </c>
      <c r="D50" s="19">
        <v>5</v>
      </c>
      <c r="E50" s="28">
        <v>2</v>
      </c>
      <c r="F50" s="19">
        <v>0</v>
      </c>
      <c r="G50" s="19">
        <v>4</v>
      </c>
      <c r="H50" s="19">
        <v>1</v>
      </c>
      <c r="I50" s="19">
        <v>0</v>
      </c>
      <c r="J50" s="19">
        <v>4</v>
      </c>
      <c r="K50" s="19">
        <v>6</v>
      </c>
      <c r="L50" s="19">
        <v>8</v>
      </c>
      <c r="M50" s="19">
        <v>5</v>
      </c>
      <c r="N50" s="27">
        <v>7</v>
      </c>
      <c r="O50" s="24">
        <f>SUM(C50:N50)+O41</f>
        <v>514</v>
      </c>
      <c r="AA50" s="12"/>
    </row>
    <row r="51" spans="2:27" s="6" customFormat="1" ht="24" customHeight="1" x14ac:dyDescent="0.15">
      <c r="C51" s="9"/>
      <c r="D51" s="9"/>
      <c r="E51" s="9"/>
      <c r="F51" s="9"/>
      <c r="K51" s="9"/>
    </row>
    <row r="52" spans="2:27" s="7" customFormat="1" ht="24" customHeight="1" thickBot="1" x14ac:dyDescent="0.2">
      <c r="B52" s="32" t="s">
        <v>32</v>
      </c>
      <c r="D52" s="8"/>
      <c r="E52" s="8"/>
      <c r="F52" s="8"/>
      <c r="H52" s="9"/>
      <c r="J52" s="9"/>
      <c r="K52" s="9"/>
      <c r="L52" s="9"/>
      <c r="M52" s="9"/>
      <c r="N52" s="6"/>
      <c r="O52" s="11"/>
      <c r="AA52" s="14"/>
    </row>
    <row r="53" spans="2:27" s="4" customFormat="1" ht="24" customHeight="1" x14ac:dyDescent="0.15">
      <c r="B53" s="25"/>
      <c r="C53" s="16" t="s">
        <v>20</v>
      </c>
      <c r="D53" s="16" t="s">
        <v>12</v>
      </c>
      <c r="E53" s="16" t="s">
        <v>11</v>
      </c>
      <c r="F53" s="16" t="s">
        <v>10</v>
      </c>
      <c r="G53" s="16" t="s">
        <v>9</v>
      </c>
      <c r="H53" s="16" t="s">
        <v>8</v>
      </c>
      <c r="I53" s="16" t="s">
        <v>17</v>
      </c>
      <c r="J53" s="16" t="s">
        <v>7</v>
      </c>
      <c r="K53" s="16" t="s">
        <v>6</v>
      </c>
      <c r="L53" s="16" t="s">
        <v>5</v>
      </c>
      <c r="M53" s="16" t="s">
        <v>16</v>
      </c>
      <c r="N53" s="16" t="s">
        <v>14</v>
      </c>
      <c r="O53" s="26" t="s">
        <v>15</v>
      </c>
      <c r="AA53" s="15"/>
    </row>
    <row r="54" spans="2:27" ht="24" customHeight="1" x14ac:dyDescent="0.15">
      <c r="B54" s="17" t="s">
        <v>3</v>
      </c>
      <c r="C54" s="3">
        <v>3</v>
      </c>
      <c r="D54" s="3">
        <v>2</v>
      </c>
      <c r="E54" s="3">
        <v>1</v>
      </c>
      <c r="F54" s="3">
        <v>3</v>
      </c>
      <c r="G54" s="3">
        <v>0</v>
      </c>
      <c r="H54" s="3">
        <v>5</v>
      </c>
      <c r="I54" s="3">
        <v>2</v>
      </c>
      <c r="J54" s="3">
        <v>3</v>
      </c>
      <c r="K54" s="3">
        <v>0</v>
      </c>
      <c r="L54" s="3">
        <v>0</v>
      </c>
      <c r="M54" s="3"/>
      <c r="N54" s="2"/>
      <c r="O54" s="23">
        <f>SUM(C54:N54)</f>
        <v>19</v>
      </c>
      <c r="AA54" s="12"/>
    </row>
    <row r="55" spans="2:27" ht="24" customHeight="1" x14ac:dyDescent="0.15">
      <c r="B55" s="17" t="s">
        <v>2</v>
      </c>
      <c r="C55" s="3">
        <v>0</v>
      </c>
      <c r="D55" s="3">
        <v>0</v>
      </c>
      <c r="E55" s="3">
        <v>1</v>
      </c>
      <c r="F55" s="3">
        <v>1</v>
      </c>
      <c r="G55" s="3">
        <v>0</v>
      </c>
      <c r="H55" s="3">
        <v>2</v>
      </c>
      <c r="I55" s="3">
        <v>0</v>
      </c>
      <c r="J55" s="3">
        <v>0</v>
      </c>
      <c r="K55" s="3">
        <v>0</v>
      </c>
      <c r="L55" s="3">
        <v>0</v>
      </c>
      <c r="M55" s="3"/>
      <c r="N55" s="2"/>
      <c r="O55" s="23">
        <f t="shared" ref="O55:O58" si="13">SUM(C55:N55)</f>
        <v>4</v>
      </c>
      <c r="AA55" s="12"/>
    </row>
    <row r="56" spans="2:27" ht="24" customHeight="1" x14ac:dyDescent="0.15">
      <c r="B56" s="17" t="s">
        <v>27</v>
      </c>
      <c r="C56" s="3">
        <v>0</v>
      </c>
      <c r="D56" s="3">
        <v>0</v>
      </c>
      <c r="E56" s="3">
        <v>0</v>
      </c>
      <c r="F56" s="3">
        <v>2</v>
      </c>
      <c r="G56" s="3">
        <v>0</v>
      </c>
      <c r="H56" s="3">
        <v>1</v>
      </c>
      <c r="I56" s="3">
        <v>1</v>
      </c>
      <c r="J56" s="3">
        <v>1</v>
      </c>
      <c r="K56" s="3">
        <v>0</v>
      </c>
      <c r="L56" s="3">
        <v>0</v>
      </c>
      <c r="M56" s="3"/>
      <c r="N56" s="2"/>
      <c r="O56" s="23">
        <f t="shared" si="13"/>
        <v>5</v>
      </c>
      <c r="AA56" s="12"/>
    </row>
    <row r="57" spans="2:27" ht="24" customHeight="1" x14ac:dyDescent="0.15">
      <c r="B57" s="17" t="s">
        <v>1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1</v>
      </c>
      <c r="J57" s="3">
        <v>0</v>
      </c>
      <c r="K57" s="3">
        <v>0</v>
      </c>
      <c r="L57" s="3">
        <v>0</v>
      </c>
      <c r="M57" s="3"/>
      <c r="N57" s="2"/>
      <c r="O57" s="23">
        <f t="shared" si="13"/>
        <v>2</v>
      </c>
      <c r="AA57" s="12"/>
    </row>
    <row r="58" spans="2:27" ht="24" customHeight="1" x14ac:dyDescent="0.15">
      <c r="B58" s="17" t="s">
        <v>30</v>
      </c>
      <c r="C58" s="3">
        <v>36</v>
      </c>
      <c r="D58" s="3">
        <v>20</v>
      </c>
      <c r="E58" s="3">
        <v>13</v>
      </c>
      <c r="F58" s="3">
        <v>20</v>
      </c>
      <c r="G58" s="3">
        <v>13</v>
      </c>
      <c r="H58" s="3">
        <v>14</v>
      </c>
      <c r="I58" s="3">
        <v>21</v>
      </c>
      <c r="J58" s="3">
        <v>15</v>
      </c>
      <c r="K58" s="3">
        <v>8</v>
      </c>
      <c r="L58" s="3">
        <v>2</v>
      </c>
      <c r="M58" s="3"/>
      <c r="N58" s="2"/>
      <c r="O58" s="23">
        <f t="shared" si="13"/>
        <v>162</v>
      </c>
      <c r="AA58" s="12"/>
    </row>
    <row r="59" spans="2:27" ht="24" customHeight="1" thickBot="1" x14ac:dyDescent="0.2">
      <c r="B59" s="18" t="s">
        <v>0</v>
      </c>
      <c r="C59" s="19">
        <v>3</v>
      </c>
      <c r="D59" s="19">
        <v>3</v>
      </c>
      <c r="E59" s="28">
        <v>3</v>
      </c>
      <c r="F59" s="19">
        <v>3</v>
      </c>
      <c r="G59" s="19">
        <v>2</v>
      </c>
      <c r="H59" s="19">
        <v>2</v>
      </c>
      <c r="I59" s="19">
        <v>3</v>
      </c>
      <c r="J59" s="19">
        <v>0</v>
      </c>
      <c r="K59" s="19">
        <v>1</v>
      </c>
      <c r="L59" s="19">
        <v>0</v>
      </c>
      <c r="M59" s="19"/>
      <c r="N59" s="27"/>
      <c r="O59" s="24">
        <f>SUM(C59:N59)+O50</f>
        <v>534</v>
      </c>
      <c r="AA59" s="12"/>
    </row>
    <row r="60" spans="2:27" s="6" customFormat="1" ht="24" customHeight="1" x14ac:dyDescent="0.15">
      <c r="C60" s="9"/>
      <c r="D60" s="9"/>
      <c r="E60" s="9"/>
      <c r="F60" s="9"/>
      <c r="K60" s="9"/>
      <c r="L60" s="6" t="s">
        <v>33</v>
      </c>
    </row>
  </sheetData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scale="89" orientation="landscape" r:id="rId1"/>
  <headerFooter>
    <oddHeader>&amp;C&amp;"-,太字"&amp;14【&amp;A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81"/>
  <sheetViews>
    <sheetView topLeftCell="A34" zoomScaleNormal="100" workbookViewId="0">
      <selection activeCell="N37" sqref="N37:N41"/>
    </sheetView>
  </sheetViews>
  <sheetFormatPr defaultColWidth="9" defaultRowHeight="15.75" x14ac:dyDescent="0.15"/>
  <cols>
    <col min="1" max="1" width="7.5" style="1" customWidth="1"/>
    <col min="2" max="2" width="16.125" style="4" customWidth="1"/>
    <col min="3" max="15" width="10.375" style="1" customWidth="1"/>
    <col min="16" max="16" width="11.125" style="1" customWidth="1"/>
    <col min="17" max="62" width="5.875" style="1" customWidth="1"/>
    <col min="63" max="16384" width="9" style="1"/>
  </cols>
  <sheetData>
    <row r="1" spans="2:63" s="4" customFormat="1" x14ac:dyDescent="0.15">
      <c r="B1" s="31"/>
      <c r="C1" s="31" t="s">
        <v>20</v>
      </c>
      <c r="D1" s="31" t="s">
        <v>12</v>
      </c>
      <c r="E1" s="31" t="s">
        <v>11</v>
      </c>
      <c r="F1" s="31" t="s">
        <v>10</v>
      </c>
      <c r="G1" s="31" t="s">
        <v>9</v>
      </c>
      <c r="H1" s="31" t="s">
        <v>8</v>
      </c>
      <c r="I1" s="31" t="s">
        <v>17</v>
      </c>
      <c r="J1" s="31" t="s">
        <v>7</v>
      </c>
      <c r="K1" s="31" t="s">
        <v>6</v>
      </c>
      <c r="L1" s="31" t="s">
        <v>5</v>
      </c>
      <c r="M1" s="31" t="s">
        <v>16</v>
      </c>
      <c r="N1" s="31" t="s">
        <v>14</v>
      </c>
      <c r="O1" s="31" t="s">
        <v>13</v>
      </c>
      <c r="P1" s="31" t="s">
        <v>12</v>
      </c>
      <c r="Q1" s="31" t="s">
        <v>11</v>
      </c>
      <c r="R1" s="31" t="s">
        <v>10</v>
      </c>
      <c r="S1" s="31" t="s">
        <v>9</v>
      </c>
      <c r="T1" s="31" t="s">
        <v>8</v>
      </c>
      <c r="U1" s="31" t="s">
        <v>18</v>
      </c>
      <c r="V1" s="31" t="s">
        <v>7</v>
      </c>
      <c r="W1" s="31" t="s">
        <v>6</v>
      </c>
      <c r="X1" s="31" t="s">
        <v>5</v>
      </c>
      <c r="Y1" s="31" t="s">
        <v>16</v>
      </c>
      <c r="Z1" s="31" t="s">
        <v>14</v>
      </c>
      <c r="AA1" s="31" t="s">
        <v>13</v>
      </c>
      <c r="AB1" s="31" t="s">
        <v>12</v>
      </c>
      <c r="AC1" s="31" t="s">
        <v>11</v>
      </c>
      <c r="AD1" s="31" t="s">
        <v>10</v>
      </c>
      <c r="AE1" s="31" t="s">
        <v>9</v>
      </c>
      <c r="AF1" s="31" t="s">
        <v>8</v>
      </c>
      <c r="AG1" s="31" t="s">
        <v>19</v>
      </c>
      <c r="AH1" s="31" t="s">
        <v>7</v>
      </c>
      <c r="AI1" s="31" t="s">
        <v>6</v>
      </c>
      <c r="AJ1" s="31" t="s">
        <v>5</v>
      </c>
      <c r="AK1" s="31" t="s">
        <v>16</v>
      </c>
      <c r="AL1" s="31" t="s">
        <v>14</v>
      </c>
      <c r="AM1" s="31" t="s">
        <v>13</v>
      </c>
      <c r="AN1" s="31" t="s">
        <v>12</v>
      </c>
      <c r="AO1" s="31" t="s">
        <v>11</v>
      </c>
      <c r="AP1" s="31" t="s">
        <v>10</v>
      </c>
      <c r="AQ1" s="31" t="s">
        <v>9</v>
      </c>
      <c r="AR1" s="31" t="s">
        <v>8</v>
      </c>
      <c r="AS1" s="31" t="s">
        <v>24</v>
      </c>
      <c r="AT1" s="31" t="s">
        <v>7</v>
      </c>
      <c r="AU1" s="31" t="s">
        <v>6</v>
      </c>
      <c r="AV1" s="31" t="s">
        <v>5</v>
      </c>
      <c r="AW1" s="31" t="s">
        <v>16</v>
      </c>
      <c r="AX1" s="31" t="s">
        <v>14</v>
      </c>
      <c r="AY1" s="31" t="s">
        <v>13</v>
      </c>
      <c r="AZ1" s="31" t="s">
        <v>12</v>
      </c>
      <c r="BA1" s="31" t="s">
        <v>11</v>
      </c>
      <c r="BB1" s="31" t="s">
        <v>10</v>
      </c>
      <c r="BC1" s="31" t="s">
        <v>9</v>
      </c>
      <c r="BD1" s="31" t="s">
        <v>8</v>
      </c>
      <c r="BE1" s="31" t="s">
        <v>28</v>
      </c>
      <c r="BF1" s="31" t="s">
        <v>7</v>
      </c>
      <c r="BG1" s="31" t="s">
        <v>6</v>
      </c>
      <c r="BH1" s="31" t="s">
        <v>5</v>
      </c>
      <c r="BI1" s="31" t="s">
        <v>16</v>
      </c>
      <c r="BJ1" s="31" t="s">
        <v>14</v>
      </c>
      <c r="BK1" s="5" t="s">
        <v>4</v>
      </c>
    </row>
    <row r="2" spans="2:63" x14ac:dyDescent="0.15">
      <c r="B2" s="3" t="s">
        <v>3</v>
      </c>
      <c r="C2" s="3">
        <v>0</v>
      </c>
      <c r="D2" s="3">
        <v>2</v>
      </c>
      <c r="E2" s="3">
        <v>1</v>
      </c>
      <c r="F2" s="3">
        <v>7</v>
      </c>
      <c r="G2" s="3">
        <v>0</v>
      </c>
      <c r="H2" s="3">
        <v>2</v>
      </c>
      <c r="I2" s="3">
        <v>3</v>
      </c>
      <c r="J2" s="3">
        <v>4</v>
      </c>
      <c r="K2" s="3">
        <v>6</v>
      </c>
      <c r="L2" s="3">
        <v>3</v>
      </c>
      <c r="M2" s="3">
        <v>3</v>
      </c>
      <c r="N2" s="2">
        <v>10</v>
      </c>
      <c r="O2" s="3">
        <f>C16</f>
        <v>4</v>
      </c>
      <c r="P2" s="3">
        <f>D16</f>
        <v>2</v>
      </c>
      <c r="Q2" s="3">
        <f t="shared" ref="P2:Q5" si="0">E16</f>
        <v>2</v>
      </c>
      <c r="R2" s="3">
        <f>F16</f>
        <v>2</v>
      </c>
      <c r="S2" s="3">
        <f t="shared" ref="O2:Z5" si="1">G16</f>
        <v>5</v>
      </c>
      <c r="T2" s="3">
        <f t="shared" si="1"/>
        <v>7</v>
      </c>
      <c r="U2" s="3">
        <f t="shared" si="1"/>
        <v>5</v>
      </c>
      <c r="V2" s="3">
        <f t="shared" si="1"/>
        <v>4</v>
      </c>
      <c r="W2" s="3">
        <f t="shared" si="1"/>
        <v>2</v>
      </c>
      <c r="X2" s="3">
        <f t="shared" si="1"/>
        <v>4</v>
      </c>
      <c r="Y2" s="3">
        <f t="shared" si="1"/>
        <v>2</v>
      </c>
      <c r="Z2" s="3">
        <f t="shared" si="1"/>
        <v>1</v>
      </c>
      <c r="AA2" s="3">
        <f>C23</f>
        <v>2</v>
      </c>
      <c r="AB2" s="3">
        <f t="shared" ref="AB2:AL5" si="2">D23</f>
        <v>1</v>
      </c>
      <c r="AC2" s="3">
        <f t="shared" si="2"/>
        <v>4</v>
      </c>
      <c r="AD2" s="3">
        <f t="shared" si="2"/>
        <v>2</v>
      </c>
      <c r="AE2" s="3">
        <f t="shared" si="2"/>
        <v>0</v>
      </c>
      <c r="AF2" s="3">
        <f t="shared" si="2"/>
        <v>3</v>
      </c>
      <c r="AG2" s="3">
        <f t="shared" si="2"/>
        <v>1</v>
      </c>
      <c r="AH2" s="3">
        <f t="shared" si="2"/>
        <v>1</v>
      </c>
      <c r="AI2" s="3">
        <f t="shared" si="2"/>
        <v>4</v>
      </c>
      <c r="AJ2" s="3">
        <f t="shared" si="2"/>
        <v>0</v>
      </c>
      <c r="AK2" s="3">
        <f t="shared" si="2"/>
        <v>3</v>
      </c>
      <c r="AL2" s="3">
        <f t="shared" si="2"/>
        <v>1</v>
      </c>
      <c r="AM2" s="35">
        <f>C30</f>
        <v>1</v>
      </c>
      <c r="AN2" s="35">
        <f t="shared" ref="AN2:AX5" si="3">D30</f>
        <v>3</v>
      </c>
      <c r="AO2" s="35">
        <f t="shared" si="3"/>
        <v>0</v>
      </c>
      <c r="AP2" s="35">
        <f t="shared" si="3"/>
        <v>1</v>
      </c>
      <c r="AQ2" s="35">
        <f t="shared" si="3"/>
        <v>0</v>
      </c>
      <c r="AR2" s="35">
        <f t="shared" si="3"/>
        <v>3</v>
      </c>
      <c r="AS2" s="35">
        <f t="shared" si="3"/>
        <v>0</v>
      </c>
      <c r="AT2" s="35">
        <f t="shared" si="3"/>
        <v>0</v>
      </c>
      <c r="AU2" s="35">
        <f t="shared" si="3"/>
        <v>1</v>
      </c>
      <c r="AV2" s="35">
        <f t="shared" si="3"/>
        <v>3</v>
      </c>
      <c r="AW2" s="35">
        <f t="shared" si="3"/>
        <v>5</v>
      </c>
      <c r="AX2" s="35">
        <f t="shared" si="3"/>
        <v>2</v>
      </c>
      <c r="AY2" s="35">
        <f>C37</f>
        <v>2</v>
      </c>
      <c r="AZ2" s="35">
        <f t="shared" ref="AZ2:BJ3" si="4">D37</f>
        <v>1</v>
      </c>
      <c r="BA2" s="35">
        <f t="shared" si="4"/>
        <v>1</v>
      </c>
      <c r="BB2" s="35">
        <f t="shared" si="4"/>
        <v>2</v>
      </c>
      <c r="BC2" s="35">
        <f t="shared" si="4"/>
        <v>0</v>
      </c>
      <c r="BD2" s="35">
        <f t="shared" si="4"/>
        <v>3</v>
      </c>
      <c r="BE2" s="35">
        <f t="shared" si="4"/>
        <v>1</v>
      </c>
      <c r="BF2" s="35">
        <f t="shared" si="4"/>
        <v>1</v>
      </c>
      <c r="BG2" s="35">
        <f t="shared" si="4"/>
        <v>1</v>
      </c>
      <c r="BH2" s="35">
        <f t="shared" si="4"/>
        <v>0</v>
      </c>
      <c r="BI2" s="35">
        <f t="shared" si="4"/>
        <v>1</v>
      </c>
      <c r="BJ2" s="35">
        <f t="shared" si="4"/>
        <v>3</v>
      </c>
      <c r="BK2" s="10">
        <f>SUM(C2:BJ2)</f>
        <v>138</v>
      </c>
    </row>
    <row r="3" spans="2:63" x14ac:dyDescent="0.15">
      <c r="B3" s="3" t="s">
        <v>2</v>
      </c>
      <c r="C3" s="3">
        <v>0</v>
      </c>
      <c r="D3" s="3">
        <v>3</v>
      </c>
      <c r="E3" s="3">
        <v>0</v>
      </c>
      <c r="F3" s="3">
        <v>2</v>
      </c>
      <c r="G3" s="3">
        <v>0</v>
      </c>
      <c r="H3" s="3">
        <v>0</v>
      </c>
      <c r="I3" s="3">
        <v>3</v>
      </c>
      <c r="J3" s="3">
        <v>2</v>
      </c>
      <c r="K3" s="3">
        <v>3</v>
      </c>
      <c r="L3" s="3">
        <v>1</v>
      </c>
      <c r="M3" s="3">
        <v>0</v>
      </c>
      <c r="N3" s="2">
        <v>7</v>
      </c>
      <c r="O3" s="3">
        <f t="shared" si="1"/>
        <v>1</v>
      </c>
      <c r="P3" s="3">
        <f t="shared" si="0"/>
        <v>0</v>
      </c>
      <c r="Q3" s="3">
        <f t="shared" si="0"/>
        <v>0</v>
      </c>
      <c r="R3" s="3">
        <f t="shared" si="1"/>
        <v>0</v>
      </c>
      <c r="S3" s="3">
        <f t="shared" si="1"/>
        <v>2</v>
      </c>
      <c r="T3" s="3">
        <f t="shared" si="1"/>
        <v>0</v>
      </c>
      <c r="U3" s="3">
        <f t="shared" si="1"/>
        <v>0</v>
      </c>
      <c r="V3" s="3">
        <f t="shared" si="1"/>
        <v>1</v>
      </c>
      <c r="W3" s="3">
        <f t="shared" si="1"/>
        <v>0</v>
      </c>
      <c r="X3" s="3">
        <f t="shared" si="1"/>
        <v>1</v>
      </c>
      <c r="Y3" s="3">
        <f t="shared" si="1"/>
        <v>0</v>
      </c>
      <c r="Z3" s="3">
        <f t="shared" si="1"/>
        <v>0</v>
      </c>
      <c r="AA3" s="3">
        <f t="shared" ref="AA3:AA5" si="5">C24</f>
        <v>0</v>
      </c>
      <c r="AB3" s="3">
        <f t="shared" si="2"/>
        <v>0</v>
      </c>
      <c r="AC3" s="3">
        <f t="shared" si="2"/>
        <v>0</v>
      </c>
      <c r="AD3" s="3">
        <f t="shared" si="2"/>
        <v>0</v>
      </c>
      <c r="AE3" s="3">
        <f t="shared" si="2"/>
        <v>0</v>
      </c>
      <c r="AF3" s="3">
        <f t="shared" si="2"/>
        <v>0</v>
      </c>
      <c r="AG3" s="3">
        <f t="shared" si="2"/>
        <v>1</v>
      </c>
      <c r="AH3" s="3">
        <f t="shared" si="2"/>
        <v>0</v>
      </c>
      <c r="AI3" s="3">
        <f t="shared" si="2"/>
        <v>1</v>
      </c>
      <c r="AJ3" s="3">
        <f t="shared" si="2"/>
        <v>0</v>
      </c>
      <c r="AK3" s="3">
        <f t="shared" si="2"/>
        <v>0</v>
      </c>
      <c r="AL3" s="3">
        <f t="shared" si="2"/>
        <v>0</v>
      </c>
      <c r="AM3" s="35">
        <f t="shared" ref="AM3:AM5" si="6">C31</f>
        <v>0</v>
      </c>
      <c r="AN3" s="35">
        <f t="shared" si="3"/>
        <v>2</v>
      </c>
      <c r="AO3" s="35">
        <f t="shared" si="3"/>
        <v>0</v>
      </c>
      <c r="AP3" s="35">
        <f t="shared" si="3"/>
        <v>0</v>
      </c>
      <c r="AQ3" s="35">
        <f t="shared" si="3"/>
        <v>0</v>
      </c>
      <c r="AR3" s="35">
        <f t="shared" si="3"/>
        <v>0</v>
      </c>
      <c r="AS3" s="35">
        <f t="shared" si="3"/>
        <v>0</v>
      </c>
      <c r="AT3" s="35">
        <f t="shared" si="3"/>
        <v>0</v>
      </c>
      <c r="AU3" s="35">
        <f t="shared" si="3"/>
        <v>0</v>
      </c>
      <c r="AV3" s="35">
        <f t="shared" si="3"/>
        <v>2</v>
      </c>
      <c r="AW3" s="35">
        <f t="shared" si="3"/>
        <v>5</v>
      </c>
      <c r="AX3" s="35">
        <f t="shared" si="3"/>
        <v>2</v>
      </c>
      <c r="AY3" s="35">
        <f t="shared" ref="AY3" si="7">C38</f>
        <v>1</v>
      </c>
      <c r="AZ3" s="35">
        <f t="shared" si="4"/>
        <v>0</v>
      </c>
      <c r="BA3" s="35">
        <f t="shared" si="4"/>
        <v>0</v>
      </c>
      <c r="BB3" s="35">
        <f t="shared" si="4"/>
        <v>2</v>
      </c>
      <c r="BC3" s="35">
        <f t="shared" si="4"/>
        <v>0</v>
      </c>
      <c r="BD3" s="35">
        <f t="shared" si="4"/>
        <v>1</v>
      </c>
      <c r="BE3" s="35">
        <f t="shared" si="4"/>
        <v>1</v>
      </c>
      <c r="BF3" s="35">
        <f t="shared" si="4"/>
        <v>1</v>
      </c>
      <c r="BG3" s="35">
        <f t="shared" si="4"/>
        <v>1</v>
      </c>
      <c r="BH3" s="35">
        <f t="shared" si="4"/>
        <v>0</v>
      </c>
      <c r="BI3" s="35">
        <f t="shared" si="4"/>
        <v>1</v>
      </c>
      <c r="BJ3" s="35">
        <f t="shared" si="4"/>
        <v>3</v>
      </c>
      <c r="BK3" s="10">
        <f t="shared" ref="BK3:BK5" si="8">SUM(C3:BJ3)</f>
        <v>50</v>
      </c>
    </row>
    <row r="4" spans="2:63" x14ac:dyDescent="0.15">
      <c r="B4" s="3" t="s">
        <v>1</v>
      </c>
      <c r="C4" s="3">
        <v>4</v>
      </c>
      <c r="D4" s="3">
        <v>2</v>
      </c>
      <c r="E4" s="3">
        <v>1</v>
      </c>
      <c r="F4" s="3">
        <v>0</v>
      </c>
      <c r="G4" s="3">
        <v>1</v>
      </c>
      <c r="H4" s="3">
        <v>1</v>
      </c>
      <c r="I4" s="3">
        <v>1</v>
      </c>
      <c r="J4" s="3">
        <v>1</v>
      </c>
      <c r="K4" s="3">
        <v>0</v>
      </c>
      <c r="L4" s="3">
        <v>0</v>
      </c>
      <c r="M4" s="3">
        <v>2</v>
      </c>
      <c r="N4" s="2">
        <v>1</v>
      </c>
      <c r="O4" s="3">
        <f t="shared" si="1"/>
        <v>0</v>
      </c>
      <c r="P4" s="3">
        <f t="shared" si="0"/>
        <v>1</v>
      </c>
      <c r="Q4" s="3">
        <f t="shared" si="0"/>
        <v>0</v>
      </c>
      <c r="R4" s="3">
        <f t="shared" si="1"/>
        <v>1</v>
      </c>
      <c r="S4" s="3">
        <f t="shared" si="1"/>
        <v>0</v>
      </c>
      <c r="T4" s="3">
        <f t="shared" si="1"/>
        <v>4</v>
      </c>
      <c r="U4" s="3">
        <f t="shared" si="1"/>
        <v>2</v>
      </c>
      <c r="V4" s="3">
        <f t="shared" si="1"/>
        <v>1</v>
      </c>
      <c r="W4" s="3">
        <f t="shared" si="1"/>
        <v>0</v>
      </c>
      <c r="X4" s="3">
        <f t="shared" si="1"/>
        <v>2</v>
      </c>
      <c r="Y4" s="3">
        <f t="shared" si="1"/>
        <v>1</v>
      </c>
      <c r="Z4" s="29">
        <f t="shared" si="1"/>
        <v>1</v>
      </c>
      <c r="AA4" s="3">
        <f t="shared" si="5"/>
        <v>0</v>
      </c>
      <c r="AB4" s="3">
        <f t="shared" si="2"/>
        <v>2</v>
      </c>
      <c r="AC4" s="3">
        <f t="shared" si="2"/>
        <v>3</v>
      </c>
      <c r="AD4" s="3">
        <f t="shared" si="2"/>
        <v>0</v>
      </c>
      <c r="AE4" s="3">
        <f t="shared" si="2"/>
        <v>0</v>
      </c>
      <c r="AF4" s="3">
        <f t="shared" si="2"/>
        <v>0</v>
      </c>
      <c r="AG4" s="3">
        <f t="shared" si="2"/>
        <v>1</v>
      </c>
      <c r="AH4" s="3">
        <f t="shared" si="2"/>
        <v>1</v>
      </c>
      <c r="AI4" s="3">
        <f t="shared" si="2"/>
        <v>0</v>
      </c>
      <c r="AJ4" s="3">
        <f t="shared" si="2"/>
        <v>0</v>
      </c>
      <c r="AK4" s="3">
        <f t="shared" si="2"/>
        <v>1</v>
      </c>
      <c r="AL4" s="3">
        <f t="shared" si="2"/>
        <v>1</v>
      </c>
      <c r="AM4" s="35">
        <f t="shared" si="6"/>
        <v>13</v>
      </c>
      <c r="AN4" s="35">
        <f t="shared" si="3"/>
        <v>0</v>
      </c>
      <c r="AO4" s="35">
        <f t="shared" si="3"/>
        <v>0</v>
      </c>
      <c r="AP4" s="35">
        <f t="shared" si="3"/>
        <v>0</v>
      </c>
      <c r="AQ4" s="35">
        <f t="shared" si="3"/>
        <v>0</v>
      </c>
      <c r="AR4" s="35">
        <f t="shared" si="3"/>
        <v>0</v>
      </c>
      <c r="AS4" s="35">
        <f t="shared" si="3"/>
        <v>1</v>
      </c>
      <c r="AT4" s="35">
        <f t="shared" si="3"/>
        <v>0</v>
      </c>
      <c r="AU4" s="35">
        <f t="shared" si="3"/>
        <v>0</v>
      </c>
      <c r="AV4" s="35">
        <f t="shared" si="3"/>
        <v>0</v>
      </c>
      <c r="AW4" s="35">
        <f t="shared" si="3"/>
        <v>0</v>
      </c>
      <c r="AX4" s="35">
        <f t="shared" si="3"/>
        <v>0</v>
      </c>
      <c r="AY4" s="35">
        <f t="shared" ref="AY4:BJ5" si="9">C40</f>
        <v>2</v>
      </c>
      <c r="AZ4" s="35">
        <f t="shared" si="9"/>
        <v>3</v>
      </c>
      <c r="BA4" s="35">
        <f t="shared" si="9"/>
        <v>0</v>
      </c>
      <c r="BB4" s="35">
        <f t="shared" si="9"/>
        <v>0</v>
      </c>
      <c r="BC4" s="35">
        <f t="shared" si="9"/>
        <v>0</v>
      </c>
      <c r="BD4" s="35">
        <f t="shared" si="9"/>
        <v>0</v>
      </c>
      <c r="BE4" s="35">
        <f t="shared" si="9"/>
        <v>0</v>
      </c>
      <c r="BF4" s="35">
        <f t="shared" si="9"/>
        <v>0</v>
      </c>
      <c r="BG4" s="35">
        <f t="shared" si="9"/>
        <v>0</v>
      </c>
      <c r="BH4" s="35">
        <f t="shared" si="9"/>
        <v>0</v>
      </c>
      <c r="BI4" s="35">
        <f t="shared" si="9"/>
        <v>1</v>
      </c>
      <c r="BJ4" s="35">
        <f t="shared" si="9"/>
        <v>0</v>
      </c>
      <c r="BK4" s="10">
        <f t="shared" si="8"/>
        <v>56</v>
      </c>
    </row>
    <row r="5" spans="2:63" ht="16.5" thickBot="1" x14ac:dyDescent="0.2">
      <c r="B5" s="3" t="s">
        <v>0</v>
      </c>
      <c r="C5" s="3">
        <v>59</v>
      </c>
      <c r="D5" s="3">
        <v>24</v>
      </c>
      <c r="E5" s="3">
        <v>18</v>
      </c>
      <c r="F5" s="3">
        <v>23</v>
      </c>
      <c r="G5" s="3">
        <v>11</v>
      </c>
      <c r="H5" s="3">
        <v>3</v>
      </c>
      <c r="I5" s="3">
        <v>12</v>
      </c>
      <c r="J5" s="3">
        <v>12</v>
      </c>
      <c r="K5" s="3">
        <v>15</v>
      </c>
      <c r="L5" s="3">
        <v>14</v>
      </c>
      <c r="M5" s="3">
        <v>6</v>
      </c>
      <c r="N5" s="2">
        <v>15</v>
      </c>
      <c r="O5" s="19">
        <f t="shared" si="1"/>
        <v>14</v>
      </c>
      <c r="P5" s="19">
        <f t="shared" si="0"/>
        <v>5</v>
      </c>
      <c r="Q5" s="19">
        <f t="shared" si="0"/>
        <v>21</v>
      </c>
      <c r="R5" s="19">
        <f t="shared" si="1"/>
        <v>1</v>
      </c>
      <c r="S5" s="19">
        <f t="shared" si="1"/>
        <v>9</v>
      </c>
      <c r="T5" s="19">
        <f t="shared" si="1"/>
        <v>8</v>
      </c>
      <c r="U5" s="19">
        <f t="shared" si="1"/>
        <v>10</v>
      </c>
      <c r="V5" s="19">
        <f t="shared" si="1"/>
        <v>8</v>
      </c>
      <c r="W5" s="19">
        <f t="shared" si="1"/>
        <v>7</v>
      </c>
      <c r="X5" s="19">
        <f t="shared" si="1"/>
        <v>4</v>
      </c>
      <c r="Y5" s="19">
        <f t="shared" si="1"/>
        <v>2</v>
      </c>
      <c r="Z5" s="30">
        <f t="shared" si="1"/>
        <v>6</v>
      </c>
      <c r="AA5" s="3">
        <f t="shared" si="5"/>
        <v>4</v>
      </c>
      <c r="AB5" s="3">
        <f t="shared" si="2"/>
        <v>2</v>
      </c>
      <c r="AC5" s="3">
        <f t="shared" si="2"/>
        <v>6</v>
      </c>
      <c r="AD5" s="3">
        <f t="shared" si="2"/>
        <v>4</v>
      </c>
      <c r="AE5" s="3">
        <f t="shared" si="2"/>
        <v>4</v>
      </c>
      <c r="AF5" s="3">
        <f t="shared" si="2"/>
        <v>5</v>
      </c>
      <c r="AG5" s="3">
        <f t="shared" si="2"/>
        <v>10</v>
      </c>
      <c r="AH5" s="3">
        <f t="shared" si="2"/>
        <v>4</v>
      </c>
      <c r="AI5" s="3">
        <f t="shared" si="2"/>
        <v>7</v>
      </c>
      <c r="AJ5" s="3">
        <f t="shared" si="2"/>
        <v>3</v>
      </c>
      <c r="AK5" s="3">
        <f t="shared" si="2"/>
        <v>6</v>
      </c>
      <c r="AL5" s="3">
        <f t="shared" si="2"/>
        <v>3</v>
      </c>
      <c r="AM5" s="36">
        <f t="shared" si="6"/>
        <v>5</v>
      </c>
      <c r="AN5" s="36">
        <f t="shared" si="3"/>
        <v>4</v>
      </c>
      <c r="AO5" s="36">
        <f t="shared" si="3"/>
        <v>0</v>
      </c>
      <c r="AP5" s="36">
        <f t="shared" si="3"/>
        <v>4</v>
      </c>
      <c r="AQ5" s="36">
        <f t="shared" si="3"/>
        <v>11</v>
      </c>
      <c r="AR5" s="36">
        <f t="shared" si="3"/>
        <v>8</v>
      </c>
      <c r="AS5" s="36">
        <f t="shared" si="3"/>
        <v>3</v>
      </c>
      <c r="AT5" s="36">
        <f t="shared" si="3"/>
        <v>2</v>
      </c>
      <c r="AU5" s="36">
        <f t="shared" si="3"/>
        <v>1</v>
      </c>
      <c r="AV5" s="36">
        <f t="shared" si="3"/>
        <v>6</v>
      </c>
      <c r="AW5" s="36">
        <f t="shared" si="3"/>
        <v>8</v>
      </c>
      <c r="AX5" s="36">
        <f t="shared" si="3"/>
        <v>5</v>
      </c>
      <c r="AY5" s="36">
        <f t="shared" si="9"/>
        <v>8</v>
      </c>
      <c r="AZ5" s="35">
        <f t="shared" si="9"/>
        <v>2</v>
      </c>
      <c r="BA5" s="35">
        <f t="shared" si="9"/>
        <v>4</v>
      </c>
      <c r="BB5" s="35">
        <f t="shared" si="9"/>
        <v>4</v>
      </c>
      <c r="BC5" s="35">
        <f t="shared" si="9"/>
        <v>2</v>
      </c>
      <c r="BD5" s="35">
        <f t="shared" si="9"/>
        <v>1</v>
      </c>
      <c r="BE5" s="35">
        <f t="shared" si="9"/>
        <v>5</v>
      </c>
      <c r="BF5" s="35">
        <f t="shared" si="9"/>
        <v>1</v>
      </c>
      <c r="BG5" s="35">
        <f t="shared" si="9"/>
        <v>1</v>
      </c>
      <c r="BH5" s="35">
        <f t="shared" si="9"/>
        <v>1</v>
      </c>
      <c r="BI5" s="35">
        <f t="shared" si="9"/>
        <v>9</v>
      </c>
      <c r="BJ5" s="35">
        <f t="shared" si="9"/>
        <v>6</v>
      </c>
      <c r="BK5" s="10">
        <f t="shared" si="8"/>
        <v>466</v>
      </c>
    </row>
    <row r="6" spans="2:63" x14ac:dyDescent="0.15"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BK6" s="12"/>
    </row>
    <row r="7" spans="2:63" s="4" customFormat="1" ht="16.5" thickBot="1" x14ac:dyDescent="0.2">
      <c r="B7" s="20" t="s">
        <v>21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63" x14ac:dyDescent="0.15">
      <c r="B8" s="25"/>
      <c r="C8" s="16" t="s">
        <v>20</v>
      </c>
      <c r="D8" s="16" t="s">
        <v>12</v>
      </c>
      <c r="E8" s="16" t="s">
        <v>11</v>
      </c>
      <c r="F8" s="16" t="s">
        <v>10</v>
      </c>
      <c r="G8" s="16" t="s">
        <v>9</v>
      </c>
      <c r="H8" s="16" t="s">
        <v>8</v>
      </c>
      <c r="I8" s="16" t="s">
        <v>17</v>
      </c>
      <c r="J8" s="16" t="s">
        <v>7</v>
      </c>
      <c r="K8" s="16" t="s">
        <v>6</v>
      </c>
      <c r="L8" s="16" t="s">
        <v>5</v>
      </c>
      <c r="M8" s="16" t="s">
        <v>16</v>
      </c>
      <c r="N8" s="16" t="s">
        <v>14</v>
      </c>
      <c r="O8" s="22" t="s">
        <v>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12"/>
    </row>
    <row r="9" spans="2:63" x14ac:dyDescent="0.15">
      <c r="B9" s="33" t="s">
        <v>3</v>
      </c>
      <c r="C9" s="3">
        <v>0</v>
      </c>
      <c r="D9" s="3">
        <v>2</v>
      </c>
      <c r="E9" s="3">
        <v>1</v>
      </c>
      <c r="F9" s="3">
        <v>7</v>
      </c>
      <c r="G9" s="3">
        <v>0</v>
      </c>
      <c r="H9" s="3">
        <v>2</v>
      </c>
      <c r="I9" s="3">
        <v>3</v>
      </c>
      <c r="J9" s="3">
        <v>4</v>
      </c>
      <c r="K9" s="3">
        <v>6</v>
      </c>
      <c r="L9" s="3">
        <v>3</v>
      </c>
      <c r="M9" s="3">
        <v>3</v>
      </c>
      <c r="N9" s="2">
        <v>10</v>
      </c>
      <c r="O9" s="23">
        <f>SUM(C9:N9)</f>
        <v>41</v>
      </c>
      <c r="AA9" s="12"/>
    </row>
    <row r="10" spans="2:63" x14ac:dyDescent="0.15">
      <c r="B10" s="33" t="s">
        <v>2</v>
      </c>
      <c r="C10" s="3">
        <v>0</v>
      </c>
      <c r="D10" s="3">
        <v>3</v>
      </c>
      <c r="E10" s="3">
        <v>0</v>
      </c>
      <c r="F10" s="3">
        <v>2</v>
      </c>
      <c r="G10" s="3">
        <v>0</v>
      </c>
      <c r="H10" s="3">
        <v>0</v>
      </c>
      <c r="I10" s="3">
        <v>3</v>
      </c>
      <c r="J10" s="3">
        <v>2</v>
      </c>
      <c r="K10" s="3">
        <v>3</v>
      </c>
      <c r="L10" s="3">
        <v>1</v>
      </c>
      <c r="M10" s="3">
        <v>0</v>
      </c>
      <c r="N10" s="2">
        <v>7</v>
      </c>
      <c r="O10" s="23">
        <f>SUM(C10:N10)</f>
        <v>21</v>
      </c>
      <c r="AA10" s="12"/>
    </row>
    <row r="11" spans="2:63" x14ac:dyDescent="0.15">
      <c r="B11" s="33" t="s">
        <v>1</v>
      </c>
      <c r="C11" s="3">
        <v>4</v>
      </c>
      <c r="D11" s="3">
        <v>2</v>
      </c>
      <c r="E11" s="3">
        <v>1</v>
      </c>
      <c r="F11" s="3">
        <v>0</v>
      </c>
      <c r="G11" s="3">
        <v>1</v>
      </c>
      <c r="H11" s="3">
        <v>1</v>
      </c>
      <c r="I11" s="3">
        <v>1</v>
      </c>
      <c r="J11" s="3">
        <v>1</v>
      </c>
      <c r="K11" s="3">
        <v>0</v>
      </c>
      <c r="L11" s="3">
        <v>0</v>
      </c>
      <c r="M11" s="3">
        <v>2</v>
      </c>
      <c r="N11" s="2">
        <v>1</v>
      </c>
      <c r="O11" s="23">
        <f>SUM(C11:N11)</f>
        <v>14</v>
      </c>
      <c r="AA11" s="12"/>
    </row>
    <row r="12" spans="2:63" ht="18" customHeight="1" thickBot="1" x14ac:dyDescent="0.2">
      <c r="B12" s="34" t="s">
        <v>0</v>
      </c>
      <c r="C12" s="19">
        <v>59</v>
      </c>
      <c r="D12" s="19">
        <v>24</v>
      </c>
      <c r="E12" s="19">
        <v>18</v>
      </c>
      <c r="F12" s="19">
        <v>23</v>
      </c>
      <c r="G12" s="19">
        <v>11</v>
      </c>
      <c r="H12" s="19">
        <v>3</v>
      </c>
      <c r="I12" s="19">
        <v>12</v>
      </c>
      <c r="J12" s="19">
        <v>12</v>
      </c>
      <c r="K12" s="19">
        <v>15</v>
      </c>
      <c r="L12" s="19">
        <v>14</v>
      </c>
      <c r="M12" s="19">
        <v>6</v>
      </c>
      <c r="N12" s="27">
        <v>15</v>
      </c>
      <c r="O12" s="24">
        <f>SUM(C12:N12)</f>
        <v>212</v>
      </c>
      <c r="AA12" s="12"/>
    </row>
    <row r="13" spans="2:63" s="7" customFormat="1" x14ac:dyDescent="0.15"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4"/>
    </row>
    <row r="14" spans="2:63" s="4" customFormat="1" ht="16.5" thickBot="1" x14ac:dyDescent="0.2">
      <c r="B14" s="20" t="s">
        <v>22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5"/>
    </row>
    <row r="15" spans="2:63" x14ac:dyDescent="0.15">
      <c r="B15" s="25"/>
      <c r="C15" s="16" t="s">
        <v>20</v>
      </c>
      <c r="D15" s="16" t="s">
        <v>12</v>
      </c>
      <c r="E15" s="16" t="s">
        <v>11</v>
      </c>
      <c r="F15" s="16" t="s">
        <v>10</v>
      </c>
      <c r="G15" s="16" t="s">
        <v>9</v>
      </c>
      <c r="H15" s="16" t="s">
        <v>8</v>
      </c>
      <c r="I15" s="16" t="s">
        <v>17</v>
      </c>
      <c r="J15" s="16" t="s">
        <v>7</v>
      </c>
      <c r="K15" s="16" t="s">
        <v>6</v>
      </c>
      <c r="L15" s="16" t="s">
        <v>5</v>
      </c>
      <c r="M15" s="16" t="s">
        <v>16</v>
      </c>
      <c r="N15" s="16" t="s">
        <v>14</v>
      </c>
      <c r="O15" s="26" t="s">
        <v>15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2"/>
    </row>
    <row r="16" spans="2:63" x14ac:dyDescent="0.15">
      <c r="B16" s="17" t="s">
        <v>3</v>
      </c>
      <c r="C16" s="3">
        <v>4</v>
      </c>
      <c r="D16" s="3">
        <v>2</v>
      </c>
      <c r="E16" s="3">
        <v>2</v>
      </c>
      <c r="F16" s="3">
        <v>2</v>
      </c>
      <c r="G16" s="3">
        <v>5</v>
      </c>
      <c r="H16" s="3">
        <v>7</v>
      </c>
      <c r="I16" s="3">
        <v>5</v>
      </c>
      <c r="J16" s="3">
        <v>4</v>
      </c>
      <c r="K16" s="3">
        <v>2</v>
      </c>
      <c r="L16" s="3">
        <v>4</v>
      </c>
      <c r="M16" s="3">
        <v>2</v>
      </c>
      <c r="N16" s="2">
        <v>1</v>
      </c>
      <c r="O16" s="23">
        <f>SUM(C16:N16)+O9</f>
        <v>81</v>
      </c>
      <c r="AA16" s="12"/>
    </row>
    <row r="17" spans="2:27" x14ac:dyDescent="0.15">
      <c r="B17" s="17" t="s">
        <v>2</v>
      </c>
      <c r="C17" s="3">
        <v>1</v>
      </c>
      <c r="D17" s="3">
        <v>0</v>
      </c>
      <c r="E17" s="3">
        <v>0</v>
      </c>
      <c r="F17" s="3">
        <v>0</v>
      </c>
      <c r="G17" s="3">
        <v>2</v>
      </c>
      <c r="H17" s="3">
        <v>0</v>
      </c>
      <c r="I17" s="3">
        <v>0</v>
      </c>
      <c r="J17" s="3">
        <v>1</v>
      </c>
      <c r="K17" s="3">
        <v>0</v>
      </c>
      <c r="L17" s="3">
        <v>1</v>
      </c>
      <c r="M17" s="3">
        <v>0</v>
      </c>
      <c r="N17" s="2">
        <v>0</v>
      </c>
      <c r="O17" s="23">
        <f t="shared" ref="O17:O18" si="10">SUM(C17:N17)+O10</f>
        <v>26</v>
      </c>
      <c r="AA17" s="12"/>
    </row>
    <row r="18" spans="2:27" x14ac:dyDescent="0.15">
      <c r="B18" s="17" t="s">
        <v>1</v>
      </c>
      <c r="C18" s="3">
        <v>0</v>
      </c>
      <c r="D18" s="3">
        <v>1</v>
      </c>
      <c r="E18" s="3">
        <v>0</v>
      </c>
      <c r="F18" s="3">
        <v>1</v>
      </c>
      <c r="G18" s="3">
        <v>0</v>
      </c>
      <c r="H18" s="3">
        <v>4</v>
      </c>
      <c r="I18" s="3">
        <v>2</v>
      </c>
      <c r="J18" s="3">
        <v>1</v>
      </c>
      <c r="K18" s="3">
        <v>0</v>
      </c>
      <c r="L18" s="3">
        <v>2</v>
      </c>
      <c r="M18" s="3">
        <v>1</v>
      </c>
      <c r="N18" s="2">
        <v>1</v>
      </c>
      <c r="O18" s="23">
        <f t="shared" si="10"/>
        <v>27</v>
      </c>
      <c r="AA18" s="12"/>
    </row>
    <row r="19" spans="2:27" ht="18.75" customHeight="1" thickBot="1" x14ac:dyDescent="0.2">
      <c r="B19" s="18" t="s">
        <v>0</v>
      </c>
      <c r="C19" s="19">
        <v>14</v>
      </c>
      <c r="D19" s="19">
        <v>5</v>
      </c>
      <c r="E19" s="19">
        <v>21</v>
      </c>
      <c r="F19" s="19">
        <v>1</v>
      </c>
      <c r="G19" s="19">
        <v>9</v>
      </c>
      <c r="H19" s="19">
        <v>8</v>
      </c>
      <c r="I19" s="19">
        <v>10</v>
      </c>
      <c r="J19" s="19">
        <v>8</v>
      </c>
      <c r="K19" s="19">
        <v>7</v>
      </c>
      <c r="L19" s="19">
        <v>4</v>
      </c>
      <c r="M19" s="19">
        <v>2</v>
      </c>
      <c r="N19" s="27">
        <v>6</v>
      </c>
      <c r="O19" s="24">
        <f>SUM(C19:N19)+O12</f>
        <v>307</v>
      </c>
      <c r="AA19" s="12"/>
    </row>
    <row r="20" spans="2:27" ht="11.25" customHeight="1" x14ac:dyDescent="0.15">
      <c r="O20" s="12"/>
      <c r="AA20" s="12"/>
    </row>
    <row r="21" spans="2:27" s="7" customFormat="1" ht="16.5" thickBot="1" x14ac:dyDescent="0.2">
      <c r="B21" s="32" t="s">
        <v>23</v>
      </c>
      <c r="D21" s="8"/>
      <c r="E21" s="8"/>
      <c r="F21" s="8"/>
      <c r="H21" s="9"/>
      <c r="J21" s="9"/>
      <c r="K21" s="9"/>
      <c r="L21" s="9"/>
      <c r="M21" s="9"/>
      <c r="N21" s="6"/>
      <c r="O21" s="11"/>
      <c r="AA21" s="14"/>
    </row>
    <row r="22" spans="2:27" s="4" customFormat="1" x14ac:dyDescent="0.15">
      <c r="B22" s="25"/>
      <c r="C22" s="16" t="s">
        <v>20</v>
      </c>
      <c r="D22" s="16" t="s">
        <v>12</v>
      </c>
      <c r="E22" s="16" t="s">
        <v>11</v>
      </c>
      <c r="F22" s="16" t="s">
        <v>10</v>
      </c>
      <c r="G22" s="16" t="s">
        <v>9</v>
      </c>
      <c r="H22" s="16" t="s">
        <v>8</v>
      </c>
      <c r="I22" s="16" t="s">
        <v>17</v>
      </c>
      <c r="J22" s="16" t="s">
        <v>7</v>
      </c>
      <c r="K22" s="16" t="s">
        <v>6</v>
      </c>
      <c r="L22" s="16" t="s">
        <v>5</v>
      </c>
      <c r="M22" s="16" t="s">
        <v>16</v>
      </c>
      <c r="N22" s="16" t="s">
        <v>14</v>
      </c>
      <c r="O22" s="26" t="s">
        <v>15</v>
      </c>
      <c r="AA22" s="15"/>
    </row>
    <row r="23" spans="2:27" x14ac:dyDescent="0.15">
      <c r="B23" s="17" t="s">
        <v>3</v>
      </c>
      <c r="C23" s="3">
        <v>2</v>
      </c>
      <c r="D23" s="3">
        <v>1</v>
      </c>
      <c r="E23" s="3">
        <v>4</v>
      </c>
      <c r="F23" s="3">
        <v>2</v>
      </c>
      <c r="G23" s="3">
        <v>0</v>
      </c>
      <c r="H23" s="3">
        <v>3</v>
      </c>
      <c r="I23" s="3">
        <v>1</v>
      </c>
      <c r="J23" s="3">
        <v>1</v>
      </c>
      <c r="K23" s="3">
        <v>4</v>
      </c>
      <c r="L23" s="3">
        <v>0</v>
      </c>
      <c r="M23" s="3">
        <v>3</v>
      </c>
      <c r="N23" s="2">
        <v>1</v>
      </c>
      <c r="O23" s="23">
        <f>SUM(C23:N23)+O16</f>
        <v>103</v>
      </c>
      <c r="AA23" s="12"/>
    </row>
    <row r="24" spans="2:27" x14ac:dyDescent="0.15">
      <c r="B24" s="17" t="s">
        <v>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1</v>
      </c>
      <c r="L24" s="3">
        <v>0</v>
      </c>
      <c r="M24" s="3">
        <v>0</v>
      </c>
      <c r="N24" s="2">
        <v>0</v>
      </c>
      <c r="O24" s="23">
        <f>SUM(C24:N24)+O17</f>
        <v>28</v>
      </c>
      <c r="AA24" s="12"/>
    </row>
    <row r="25" spans="2:27" x14ac:dyDescent="0.15">
      <c r="B25" s="17" t="s">
        <v>1</v>
      </c>
      <c r="C25" s="3">
        <v>0</v>
      </c>
      <c r="D25" s="3">
        <v>2</v>
      </c>
      <c r="E25" s="3">
        <v>3</v>
      </c>
      <c r="F25" s="3">
        <v>0</v>
      </c>
      <c r="G25" s="3">
        <v>0</v>
      </c>
      <c r="H25" s="3">
        <v>0</v>
      </c>
      <c r="I25" s="3">
        <v>1</v>
      </c>
      <c r="J25" s="3">
        <v>1</v>
      </c>
      <c r="K25" s="3">
        <v>0</v>
      </c>
      <c r="L25" s="3">
        <v>0</v>
      </c>
      <c r="M25" s="3">
        <v>1</v>
      </c>
      <c r="N25" s="2">
        <v>1</v>
      </c>
      <c r="O25" s="23">
        <f>SUM(C25:N25)+O18</f>
        <v>36</v>
      </c>
      <c r="AA25" s="12"/>
    </row>
    <row r="26" spans="2:27" ht="16.5" thickBot="1" x14ac:dyDescent="0.2">
      <c r="B26" s="18" t="s">
        <v>0</v>
      </c>
      <c r="C26" s="19">
        <v>4</v>
      </c>
      <c r="D26" s="19">
        <v>2</v>
      </c>
      <c r="E26" s="28">
        <v>6</v>
      </c>
      <c r="F26" s="19">
        <v>4</v>
      </c>
      <c r="G26" s="19">
        <v>4</v>
      </c>
      <c r="H26" s="19">
        <v>5</v>
      </c>
      <c r="I26" s="19">
        <v>10</v>
      </c>
      <c r="J26" s="19">
        <v>4</v>
      </c>
      <c r="K26" s="19">
        <v>7</v>
      </c>
      <c r="L26" s="19">
        <v>3</v>
      </c>
      <c r="M26" s="19">
        <v>6</v>
      </c>
      <c r="N26" s="27">
        <v>3</v>
      </c>
      <c r="O26" s="24">
        <f>SUM(C26:N26)+O19</f>
        <v>365</v>
      </c>
      <c r="AA26" s="12"/>
    </row>
    <row r="27" spans="2:27" s="6" customFormat="1" ht="21" customHeight="1" x14ac:dyDescent="0.15">
      <c r="H27" s="9"/>
      <c r="J27" s="9"/>
      <c r="K27" s="9"/>
      <c r="L27" s="9"/>
      <c r="M27" s="9"/>
      <c r="N27" s="9"/>
    </row>
    <row r="28" spans="2:27" s="7" customFormat="1" ht="16.5" thickBot="1" x14ac:dyDescent="0.2">
      <c r="B28" s="32" t="s">
        <v>25</v>
      </c>
      <c r="D28" s="8"/>
      <c r="E28" s="8"/>
      <c r="F28" s="8"/>
      <c r="H28" s="9"/>
      <c r="J28" s="9"/>
      <c r="K28" s="9"/>
      <c r="L28" s="9"/>
      <c r="M28" s="9"/>
      <c r="N28" s="6"/>
      <c r="O28" s="11"/>
      <c r="AA28" s="14"/>
    </row>
    <row r="29" spans="2:27" s="4" customFormat="1" x14ac:dyDescent="0.15">
      <c r="B29" s="25"/>
      <c r="C29" s="16" t="s">
        <v>20</v>
      </c>
      <c r="D29" s="16" t="s">
        <v>12</v>
      </c>
      <c r="E29" s="16" t="s">
        <v>11</v>
      </c>
      <c r="F29" s="16" t="s">
        <v>10</v>
      </c>
      <c r="G29" s="16" t="s">
        <v>9</v>
      </c>
      <c r="H29" s="16" t="s">
        <v>8</v>
      </c>
      <c r="I29" s="16" t="s">
        <v>17</v>
      </c>
      <c r="J29" s="16" t="s">
        <v>7</v>
      </c>
      <c r="K29" s="16" t="s">
        <v>6</v>
      </c>
      <c r="L29" s="16" t="s">
        <v>5</v>
      </c>
      <c r="M29" s="16" t="s">
        <v>16</v>
      </c>
      <c r="N29" s="16" t="s">
        <v>14</v>
      </c>
      <c r="O29" s="26" t="s">
        <v>15</v>
      </c>
      <c r="AA29" s="15"/>
    </row>
    <row r="30" spans="2:27" x14ac:dyDescent="0.15">
      <c r="B30" s="17" t="s">
        <v>3</v>
      </c>
      <c r="C30" s="3">
        <v>1</v>
      </c>
      <c r="D30" s="3">
        <v>3</v>
      </c>
      <c r="E30" s="3">
        <v>0</v>
      </c>
      <c r="F30" s="3">
        <v>1</v>
      </c>
      <c r="G30" s="3">
        <v>0</v>
      </c>
      <c r="H30" s="3">
        <v>3</v>
      </c>
      <c r="I30" s="3">
        <v>0</v>
      </c>
      <c r="J30" s="3">
        <v>0</v>
      </c>
      <c r="K30" s="3">
        <v>1</v>
      </c>
      <c r="L30" s="3">
        <v>3</v>
      </c>
      <c r="M30" s="3">
        <v>5</v>
      </c>
      <c r="N30" s="2">
        <v>2</v>
      </c>
      <c r="O30" s="23">
        <f>SUM(C30:N30)+O23</f>
        <v>122</v>
      </c>
      <c r="AA30" s="12"/>
    </row>
    <row r="31" spans="2:27" x14ac:dyDescent="0.15">
      <c r="B31" s="17" t="s">
        <v>2</v>
      </c>
      <c r="C31" s="3">
        <v>0</v>
      </c>
      <c r="D31" s="3">
        <v>2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2</v>
      </c>
      <c r="M31" s="3">
        <v>5</v>
      </c>
      <c r="N31" s="2">
        <v>2</v>
      </c>
      <c r="O31" s="23">
        <f>SUM(C31:N31)+O24</f>
        <v>39</v>
      </c>
      <c r="AA31" s="12"/>
    </row>
    <row r="32" spans="2:27" x14ac:dyDescent="0.15">
      <c r="B32" s="17" t="s">
        <v>1</v>
      </c>
      <c r="C32" s="3">
        <v>13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1</v>
      </c>
      <c r="J32" s="3">
        <v>0</v>
      </c>
      <c r="K32" s="3">
        <v>0</v>
      </c>
      <c r="L32" s="3">
        <v>0</v>
      </c>
      <c r="M32" s="3">
        <v>0</v>
      </c>
      <c r="N32" s="2">
        <v>0</v>
      </c>
      <c r="O32" s="23">
        <f>SUM(C32:N32)+O25</f>
        <v>50</v>
      </c>
      <c r="AA32" s="12"/>
    </row>
    <row r="33" spans="2:27" ht="16.5" thickBot="1" x14ac:dyDescent="0.2">
      <c r="B33" s="18" t="s">
        <v>0</v>
      </c>
      <c r="C33" s="19">
        <v>5</v>
      </c>
      <c r="D33" s="19">
        <v>4</v>
      </c>
      <c r="E33" s="28">
        <v>0</v>
      </c>
      <c r="F33" s="19">
        <v>4</v>
      </c>
      <c r="G33" s="19">
        <v>11</v>
      </c>
      <c r="H33" s="19">
        <v>8</v>
      </c>
      <c r="I33" s="19">
        <v>3</v>
      </c>
      <c r="J33" s="19">
        <v>2</v>
      </c>
      <c r="K33" s="19">
        <v>1</v>
      </c>
      <c r="L33" s="19">
        <v>6</v>
      </c>
      <c r="M33" s="19">
        <v>8</v>
      </c>
      <c r="N33" s="27">
        <v>5</v>
      </c>
      <c r="O33" s="24">
        <f>SUM(C33:N33)+O26</f>
        <v>422</v>
      </c>
      <c r="AA33" s="12"/>
    </row>
    <row r="34" spans="2:27" s="6" customFormat="1" ht="21" customHeight="1" x14ac:dyDescent="0.15">
      <c r="C34" s="9"/>
      <c r="D34" s="9"/>
      <c r="E34" s="9"/>
      <c r="F34" s="9"/>
      <c r="K34" s="9"/>
      <c r="L34" s="9"/>
      <c r="M34" s="9"/>
      <c r="N34" s="9"/>
    </row>
    <row r="35" spans="2:27" s="7" customFormat="1" ht="16.5" thickBot="1" x14ac:dyDescent="0.2">
      <c r="B35" s="32" t="s">
        <v>26</v>
      </c>
      <c r="D35" s="8"/>
      <c r="E35" s="8"/>
      <c r="F35" s="8"/>
      <c r="H35" s="9"/>
      <c r="J35" s="9"/>
      <c r="K35" s="9"/>
      <c r="L35" s="9"/>
      <c r="M35" s="9"/>
      <c r="N35" s="6"/>
      <c r="O35" s="11"/>
      <c r="AA35" s="14"/>
    </row>
    <row r="36" spans="2:27" s="4" customFormat="1" x14ac:dyDescent="0.15">
      <c r="B36" s="25"/>
      <c r="C36" s="16" t="s">
        <v>20</v>
      </c>
      <c r="D36" s="16" t="s">
        <v>12</v>
      </c>
      <c r="E36" s="16" t="s">
        <v>11</v>
      </c>
      <c r="F36" s="16" t="s">
        <v>10</v>
      </c>
      <c r="G36" s="16" t="s">
        <v>9</v>
      </c>
      <c r="H36" s="16" t="s">
        <v>8</v>
      </c>
      <c r="I36" s="16" t="s">
        <v>17</v>
      </c>
      <c r="J36" s="16" t="s">
        <v>7</v>
      </c>
      <c r="K36" s="16" t="s">
        <v>6</v>
      </c>
      <c r="L36" s="16" t="s">
        <v>5</v>
      </c>
      <c r="M36" s="16" t="s">
        <v>16</v>
      </c>
      <c r="N36" s="16" t="s">
        <v>14</v>
      </c>
      <c r="O36" s="26" t="s">
        <v>15</v>
      </c>
      <c r="AA36" s="15"/>
    </row>
    <row r="37" spans="2:27" x14ac:dyDescent="0.15">
      <c r="B37" s="17" t="s">
        <v>3</v>
      </c>
      <c r="C37" s="3">
        <v>2</v>
      </c>
      <c r="D37" s="3">
        <v>1</v>
      </c>
      <c r="E37" s="3">
        <v>1</v>
      </c>
      <c r="F37" s="3">
        <v>2</v>
      </c>
      <c r="G37" s="3">
        <v>0</v>
      </c>
      <c r="H37" s="3">
        <v>3</v>
      </c>
      <c r="I37" s="3">
        <v>1</v>
      </c>
      <c r="J37" s="3">
        <v>1</v>
      </c>
      <c r="K37" s="3">
        <v>1</v>
      </c>
      <c r="L37" s="3">
        <v>0</v>
      </c>
      <c r="M37" s="3">
        <v>1</v>
      </c>
      <c r="N37" s="2">
        <v>3</v>
      </c>
      <c r="O37" s="23">
        <f>SUM(C37:N37)+O30</f>
        <v>138</v>
      </c>
      <c r="AA37" s="12"/>
    </row>
    <row r="38" spans="2:27" x14ac:dyDescent="0.15">
      <c r="B38" s="17" t="s">
        <v>2</v>
      </c>
      <c r="C38" s="3">
        <v>1</v>
      </c>
      <c r="D38" s="3">
        <v>0</v>
      </c>
      <c r="E38" s="3">
        <v>0</v>
      </c>
      <c r="F38" s="3">
        <v>2</v>
      </c>
      <c r="G38" s="3">
        <v>0</v>
      </c>
      <c r="H38" s="3">
        <v>1</v>
      </c>
      <c r="I38" s="3">
        <v>1</v>
      </c>
      <c r="J38" s="3">
        <v>1</v>
      </c>
      <c r="K38" s="3">
        <v>1</v>
      </c>
      <c r="L38" s="3">
        <v>0</v>
      </c>
      <c r="M38" s="3">
        <v>1</v>
      </c>
      <c r="N38" s="2">
        <v>3</v>
      </c>
      <c r="O38" s="23">
        <f>SUM(C38:N38)+O31</f>
        <v>50</v>
      </c>
      <c r="AA38" s="12"/>
    </row>
    <row r="39" spans="2:27" x14ac:dyDescent="0.15">
      <c r="B39" s="17" t="s">
        <v>27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2">
        <v>0</v>
      </c>
      <c r="O39" s="23">
        <f>SUM(C39:N39)</f>
        <v>0</v>
      </c>
      <c r="AA39" s="12"/>
    </row>
    <row r="40" spans="2:27" x14ac:dyDescent="0.15">
      <c r="B40" s="17" t="s">
        <v>1</v>
      </c>
      <c r="C40" s="3">
        <v>2</v>
      </c>
      <c r="D40" s="3">
        <v>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2">
        <v>0</v>
      </c>
      <c r="O40" s="23">
        <f>SUM(C40:N40)+O32</f>
        <v>56</v>
      </c>
      <c r="AA40" s="12"/>
    </row>
    <row r="41" spans="2:27" ht="16.5" thickBot="1" x14ac:dyDescent="0.2">
      <c r="B41" s="18" t="s">
        <v>0</v>
      </c>
      <c r="C41" s="19">
        <v>8</v>
      </c>
      <c r="D41" s="19">
        <v>2</v>
      </c>
      <c r="E41" s="28">
        <v>4</v>
      </c>
      <c r="F41" s="19">
        <v>4</v>
      </c>
      <c r="G41" s="19">
        <v>2</v>
      </c>
      <c r="H41" s="19">
        <v>1</v>
      </c>
      <c r="I41" s="19">
        <v>5</v>
      </c>
      <c r="J41" s="19">
        <v>1</v>
      </c>
      <c r="K41" s="19">
        <v>1</v>
      </c>
      <c r="L41" s="19">
        <v>1</v>
      </c>
      <c r="M41" s="19">
        <v>9</v>
      </c>
      <c r="N41" s="27">
        <v>6</v>
      </c>
      <c r="O41" s="24">
        <f>SUM(C41:N41)+O33</f>
        <v>466</v>
      </c>
      <c r="AA41" s="12"/>
    </row>
    <row r="42" spans="2:27" s="6" customFormat="1" ht="21" customHeight="1" x14ac:dyDescent="0.15">
      <c r="C42" s="9"/>
      <c r="D42" s="9"/>
      <c r="E42" s="9"/>
      <c r="F42" s="9"/>
      <c r="K42" s="9"/>
      <c r="N42" s="9" t="s">
        <v>29</v>
      </c>
    </row>
    <row r="43" spans="2:27" s="6" customFormat="1" ht="10.5" customHeight="1" x14ac:dyDescent="0.15">
      <c r="C43" s="9"/>
      <c r="D43" s="9"/>
      <c r="E43" s="9"/>
      <c r="F43" s="9"/>
      <c r="K43" s="9"/>
      <c r="L43" s="9"/>
      <c r="M43" s="9"/>
      <c r="N43" s="9"/>
    </row>
    <row r="44" spans="2:27" s="6" customFormat="1" ht="12.75" customHeight="1" x14ac:dyDescent="0.15">
      <c r="D44" s="13"/>
      <c r="E44" s="9"/>
      <c r="F44" s="9"/>
      <c r="H44" s="9"/>
      <c r="J44" s="9"/>
      <c r="K44" s="9"/>
      <c r="L44" s="9"/>
      <c r="M44" s="9"/>
    </row>
    <row r="45" spans="2:27" ht="12.75" customHeight="1" x14ac:dyDescent="0.15"/>
    <row r="46" spans="2:27" ht="12.75" customHeight="1" x14ac:dyDescent="0.15"/>
    <row r="47" spans="2:27" ht="12.75" customHeight="1" x14ac:dyDescent="0.15"/>
    <row r="48" spans="2:27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</sheetData>
  <phoneticPr fontId="2"/>
  <printOptions horizontalCentered="1" verticalCentered="1"/>
  <pageMargins left="3.937007874015748E-2" right="3.937007874015748E-2" top="0.35433070866141736" bottom="0.15748031496062992" header="0.31496062992125984" footer="0.11811023622047245"/>
  <pageSetup paperSize="9" scale="45" orientation="landscape" r:id="rId1"/>
  <headerFooter>
    <oddHeader>&amp;C&amp;14【&amp;A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おかげ茶屋</vt:lpstr>
      <vt:lpstr>おかげ茶屋 (2)</vt:lpstr>
      <vt:lpstr>おかげ茶屋!Print_Area</vt:lpstr>
      <vt:lpstr>'おかげ茶屋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2024-11-26T04:25:48Z</cp:lastPrinted>
  <dcterms:created xsi:type="dcterms:W3CDTF">2018-10-31T01:30:52Z</dcterms:created>
  <dcterms:modified xsi:type="dcterms:W3CDTF">2026-04-27T01:33:07Z</dcterms:modified>
</cp:coreProperties>
</file>