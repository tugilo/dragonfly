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豊月堂 末広店" sheetId="1" r:id="rId1"/>
    <sheet name="豊月堂 末広店 (2)" sheetId="2" r:id="rId2"/>
  </sheets>
  <definedNames>
    <definedName name="_xlnm.Print_Area" localSheetId="0">'豊月堂 末広店'!$A$22:$P$39</definedName>
    <definedName name="_xlnm.Print_Area" localSheetId="1">'豊月堂 末広店 (2)'!$A$7:$P$67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8" i="1" l="1"/>
  <c r="O37" i="1"/>
  <c r="O36" i="1"/>
  <c r="O34" i="1"/>
  <c r="O33" i="1"/>
  <c r="O24" i="1"/>
  <c r="O35" i="1"/>
  <c r="O29" i="1" l="1"/>
  <c r="O25" i="1"/>
  <c r="O26" i="1"/>
  <c r="O27" i="1"/>
  <c r="O28" i="1"/>
  <c r="O17" i="1"/>
  <c r="O18" i="1"/>
  <c r="O19" i="1"/>
  <c r="O16" i="1"/>
  <c r="O20" i="2"/>
  <c r="O28" i="2" s="1"/>
  <c r="O18" i="2"/>
  <c r="O26" i="2" s="1"/>
  <c r="O12" i="2"/>
  <c r="O11" i="2"/>
  <c r="O19" i="2" s="1"/>
  <c r="O27" i="2" s="1"/>
  <c r="O10" i="2"/>
  <c r="O17" i="2" s="1"/>
  <c r="O25" i="2" s="1"/>
  <c r="O9" i="2"/>
  <c r="O16" i="2" s="1"/>
  <c r="O24" i="2" s="1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M5" i="2" s="1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M4" i="2" s="1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M3" i="2" s="1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M2" i="2" s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AA5" i="1"/>
  <c r="AA4" i="1"/>
  <c r="AA2" i="1"/>
  <c r="AA3" i="1"/>
  <c r="P2" i="1" l="1"/>
  <c r="Q2" i="1"/>
  <c r="R2" i="1"/>
  <c r="S2" i="1"/>
  <c r="T2" i="1"/>
  <c r="U2" i="1"/>
  <c r="V2" i="1"/>
  <c r="W2" i="1"/>
  <c r="X2" i="1"/>
  <c r="Y2" i="1"/>
  <c r="Z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O3" i="1"/>
  <c r="O4" i="1"/>
  <c r="O5" i="1"/>
  <c r="O2" i="1"/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AM3" i="1" s="1"/>
  <c r="C4" i="1"/>
  <c r="C5" i="1"/>
  <c r="C2" i="1"/>
  <c r="AM2" i="1" l="1"/>
  <c r="AM4" i="1"/>
  <c r="AM5" i="1"/>
  <c r="O12" i="1"/>
  <c r="O11" i="1"/>
  <c r="O10" i="1"/>
  <c r="O9" i="1"/>
  <c r="O20" i="1" l="1"/>
</calcChain>
</file>

<file path=xl/sharedStrings.xml><?xml version="1.0" encoding="utf-8"?>
<sst xmlns="http://schemas.openxmlformats.org/spreadsheetml/2006/main" count="217" uniqueCount="26">
  <si>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</si>
  <si>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</si>
  <si>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</si>
  <si>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</si>
  <si>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</si>
  <si>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</si>
  <si>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</si>
  <si>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</si>
  <si>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</si>
  <si>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</si>
  <si>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6月</t>
  </si>
  <si>
    <t>7月</t>
  </si>
  <si>
    <t>10月</t>
  </si>
  <si>
    <t>11月</t>
  </si>
  <si>
    <t>8月</t>
  </si>
  <si>
    <t>9月</t>
  </si>
  <si>
    <t>1月</t>
  </si>
  <si>
    <t>2022年5月～2023年4月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</si>
  <si>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2023年5月～2024年4月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</si>
  <si>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2023/1月</t>
    <phoneticPr fontId="2"/>
  </si>
  <si>
    <t>2024/1月</t>
    <phoneticPr fontId="2"/>
  </si>
  <si>
    <t>スタンプクーポン</t>
    <phoneticPr fontId="2"/>
  </si>
  <si>
    <t>2024年5月～2025年4月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</si>
  <si>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5/26～6/25</t>
    <phoneticPr fontId="2"/>
  </si>
  <si>
    <t>閲覧数</t>
    <rPh sb="0" eb="2">
      <t>エツラン</t>
    </rPh>
    <rPh sb="2" eb="3">
      <t>スウ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</si>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</sst>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38" fontId="1" fillId="0" borderId="1" xfId="1" applyFont="1" applyBorder="1">
      <alignment vertical="center"/>
    </xf>
    <xf numFmtId="38" fontId="1" fillId="0" borderId="0" xfId="1" applyFont="1">
      <alignment vertical="center"/>
    </xf>
    <xf numFmtId="38" fontId="1" fillId="0" borderId="1" xfId="1" applyFont="1" applyBorder="1" applyAlignment="1">
      <alignment horizontal="center" vertical="center"/>
    </xf>
    <xf numFmtId="38" fontId="1" fillId="0" borderId="0" xfId="1" applyFont="1" applyBorder="1">
      <alignment vertical="center"/>
    </xf>
    <xf numFmtId="38" fontId="1" fillId="0" borderId="0" xfId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'豊月堂 末広店 (2)'!$B$14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 末広店 (2)'!$C$23:$N$23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'豊月堂 末広店 (2)'!$C$16:$N$16</c:f>
              <c:numCache>
                <c:formatCode>General</c:formatCode>
                <c:ptCount val="12"/>
                <c:pt idx="0">
                  <c:v>125</c:v>
                </c:pt>
                <c:pt idx="1">
                  <c:v>118</c:v>
                </c:pt>
                <c:pt idx="2">
                  <c:v>162</c:v>
                </c:pt>
                <c:pt idx="3">
                  <c:v>155</c:v>
                </c:pt>
                <c:pt idx="4">
                  <c:v>195</c:v>
                </c:pt>
                <c:pt idx="5">
                  <c:v>176</c:v>
                </c:pt>
                <c:pt idx="6">
                  <c:v>145</c:v>
                </c:pt>
                <c:pt idx="7">
                  <c:v>131</c:v>
                </c:pt>
                <c:pt idx="8">
                  <c:v>175</c:v>
                </c:pt>
                <c:pt idx="9">
                  <c:v>204</c:v>
                </c:pt>
                <c:pt idx="10">
                  <c:v>182</c:v>
                </c:pt>
                <c:pt idx="11">
                  <c:v>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75-4AB3-8349-9AC7680FEF2B}"/>
            </c:ext>
          </c:extLst>
        </c:ser>
        <c:ser>
          <c:idx val="2"/>
          <c:order val="1"/>
          <c:tx>
            <c:strRef>
              <c:f>'豊月堂 末広店 (2)'!$B$22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 末広店 (2)'!$C$23:$N$23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'豊月堂 末広店 (2)'!$C$24:$N$24</c:f>
              <c:numCache>
                <c:formatCode>General</c:formatCode>
                <c:ptCount val="12"/>
                <c:pt idx="0">
                  <c:v>189</c:v>
                </c:pt>
                <c:pt idx="1">
                  <c:v>206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575-4AB3-8349-9AC7680F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521664"/>
        <c:axId val="365522056"/>
        <c:extLst xmlns:c16r2="http://schemas.microsoft.com/office/drawing/2015/06/chart"/>
      </c:barChart>
      <c:catAx>
        <c:axId val="36552166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365522056"/>
        <c:crosses val="autoZero"/>
        <c:auto val="1"/>
        <c:lblAlgn val="ctr"/>
        <c:lblOffset val="100"/>
        <c:noMultiLvlLbl val="0"/>
      </c:catAx>
      <c:valAx>
        <c:axId val="36552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36552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9331464763651"/>
          <c:y val="5.5843066689429392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70809811210146956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'豊月堂 末広店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'豊月堂 末広店 (2)'!$C$1:$AL$1</c15:sqref>
                  </c15:fullRef>
                </c:ext>
              </c:extLst>
              <c:f>'豊月堂 末広店 (2)'!$E$1:$AC$1</c:f>
              <c:strCache>
                <c:ptCount val="25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  <c:pt idx="24">
                  <c:v>7月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'豊月堂 末広店 (2)'!$C$5:$AL$5</c15:sqref>
                  </c15:fullRef>
                </c:ext>
              </c:extLst>
              <c:f>'豊月堂 末広店 (2)'!$E$5:$AC$5</c:f>
              <c:numCache>
                <c:formatCode>General</c:formatCode>
                <c:ptCount val="25"/>
                <c:pt idx="0">
                  <c:v>35</c:v>
                </c:pt>
                <c:pt idx="1">
                  <c:v>25</c:v>
                </c:pt>
                <c:pt idx="2">
                  <c:v>23</c:v>
                </c:pt>
                <c:pt idx="3">
                  <c:v>19</c:v>
                </c:pt>
                <c:pt idx="4">
                  <c:v>35</c:v>
                </c:pt>
                <c:pt idx="5">
                  <c:v>17</c:v>
                </c:pt>
                <c:pt idx="6">
                  <c:v>22</c:v>
                </c:pt>
                <c:pt idx="7">
                  <c:v>10</c:v>
                </c:pt>
                <c:pt idx="8">
                  <c:v>21</c:v>
                </c:pt>
                <c:pt idx="9">
                  <c:v>22</c:v>
                </c:pt>
                <c:pt idx="10">
                  <c:v>21</c:v>
                </c:pt>
                <c:pt idx="11">
                  <c:v>24</c:v>
                </c:pt>
                <c:pt idx="12">
                  <c:v>18</c:v>
                </c:pt>
                <c:pt idx="13">
                  <c:v>70</c:v>
                </c:pt>
                <c:pt idx="14">
                  <c:v>35</c:v>
                </c:pt>
                <c:pt idx="15">
                  <c:v>38</c:v>
                </c:pt>
                <c:pt idx="16">
                  <c:v>27</c:v>
                </c:pt>
                <c:pt idx="17">
                  <c:v>19</c:v>
                </c:pt>
                <c:pt idx="18">
                  <c:v>24</c:v>
                </c:pt>
                <c:pt idx="19">
                  <c:v>32</c:v>
                </c:pt>
                <c:pt idx="20">
                  <c:v>28</c:v>
                </c:pt>
                <c:pt idx="21">
                  <c:v>29</c:v>
                </c:pt>
                <c:pt idx="22">
                  <c:v>42</c:v>
                </c:pt>
                <c:pt idx="23">
                  <c:v>25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39-4571-A585-328C8D7FC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520488"/>
        <c:axId val="365522448"/>
        <c:extLst xmlns:c16r2="http://schemas.microsoft.com/office/drawing/2015/06/chart"/>
      </c:barChart>
      <c:catAx>
        <c:axId val="36552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365522448"/>
        <c:crosses val="autoZero"/>
        <c:auto val="1"/>
        <c:lblAlgn val="ctr"/>
        <c:lblOffset val="100"/>
        <c:noMultiLvlLbl val="0"/>
      </c:catAx>
      <c:valAx>
        <c:axId val="36552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365520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'豊月堂 末広店 (2)'!$B$14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 末広店 (2)'!$C$23:$N$23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'豊月堂 末広店 (2)'!$C$17:$N$17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25</c:v>
                </c:pt>
                <c:pt idx="3">
                  <c:v>24</c:v>
                </c:pt>
                <c:pt idx="4">
                  <c:v>17</c:v>
                </c:pt>
                <c:pt idx="5">
                  <c:v>27</c:v>
                </c:pt>
                <c:pt idx="6">
                  <c:v>14</c:v>
                </c:pt>
                <c:pt idx="7">
                  <c:v>14</c:v>
                </c:pt>
                <c:pt idx="8">
                  <c:v>40</c:v>
                </c:pt>
                <c:pt idx="9">
                  <c:v>21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E-4C93-B337-509E567C2BD7}"/>
            </c:ext>
          </c:extLst>
        </c:ser>
        <c:ser>
          <c:idx val="1"/>
          <c:order val="1"/>
          <c:tx>
            <c:strRef>
              <c:f>'豊月堂 末広店 (2)'!$B$22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'豊月堂 末広店 (2)'!$C$23:$N$23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'豊月堂 末広店 (2)'!$C$25:$N$25</c:f>
              <c:numCache>
                <c:formatCode>General</c:formatCode>
                <c:ptCount val="12"/>
                <c:pt idx="0">
                  <c:v>21</c:v>
                </c:pt>
                <c:pt idx="1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E-4C93-B337-509E567C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120"/>
        <c:axId val="472445296"/>
        <c:extLst xmlns:c16r2="http://schemas.microsoft.com/office/drawing/2015/06/chart"/>
      </c:barChart>
      <c:catAx>
        <c:axId val="47244412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296"/>
        <c:crosses val="autoZero"/>
        <c:auto val="1"/>
        <c:lblAlgn val="ctr"/>
        <c:lblOffset val="100"/>
        <c:noMultiLvlLbl val="0"/>
      </c:catAx>
      <c:valAx>
        <c:axId val="4724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76601394213469"/>
          <c:y val="5.5843066689429392E-2"/>
          <c:w val="0.274233986057865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'豊月堂 末広店 (2)'!$B$14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 末広店 (2)'!$C$23:$N$23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'豊月堂 末広店 (2)'!$C$18:$N$18</c:f>
              <c:numCache>
                <c:formatCode>General</c:formatCode>
                <c:ptCount val="12"/>
                <c:pt idx="10">
                  <c:v>18</c:v>
                </c:pt>
                <c:pt idx="11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6A-4E3B-9182-6BFE95715C44}"/>
            </c:ext>
          </c:extLst>
        </c:ser>
        <c:ser>
          <c:idx val="2"/>
          <c:order val="1"/>
          <c:tx>
            <c:strRef>
              <c:f>'豊月堂 末広店 (2)'!$B$22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 末広店 (2)'!$C$23:$N$23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'豊月堂 末広店 (2)'!$C$26:$N$26</c:f>
              <c:numCache>
                <c:formatCode>General</c:formatCode>
                <c:ptCount val="12"/>
                <c:pt idx="0">
                  <c:v>15</c:v>
                </c:pt>
                <c:pt idx="1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6A-4E3B-9182-6BFE95715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512"/>
        <c:axId val="472445688"/>
        <c:extLst xmlns:c16r2="http://schemas.microsoft.com/office/drawing/2015/06/chart"/>
      </c:barChart>
      <c:catAx>
        <c:axId val="47244451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688"/>
        <c:crosses val="autoZero"/>
        <c:auto val="1"/>
        <c:lblAlgn val="ctr"/>
        <c:lblOffset val="100"/>
        <c:noMultiLvlLbl val="0"/>
      </c:catAx>
      <c:valAx>
        <c:axId val="4724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9331464763651"/>
          <c:y val="5.5843066689429392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28</xdr:row>
      <xdr:rowOff>200024</xdr:rowOff>
    </xdr:from>
    <xdr:to>
      <xdr:col>7</xdr:col>
      <xdr:colOff>895351</xdr:colOff>
      <xdr:row>47</xdr:row>
      <xdr:rowOff>152399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78F06194-818A-4A81-8306-F3525100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142874</xdr:colOff>
      <xdr:row>48</xdr:row>
      <xdr:rowOff>28575</xdr:rowOff>
    </xdr:from>
    <xdr:to>
      <xdr:col>15</xdr:col>
      <xdr:colOff>609599</xdr:colOff>
      <xdr:row>66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1FD037DC-2C50-4B5A-8543-175EF7348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133351</xdr:colOff>
      <xdr:row>29</xdr:row>
      <xdr:rowOff>19049</xdr:rowOff>
    </xdr:from>
    <xdr:to>
      <xdr:col>15</xdr:col>
      <xdr:colOff>609601</xdr:colOff>
      <xdr:row>47</xdr:row>
      <xdr:rowOff>171449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3399C34A-1128-4517-B4AD-983CD97F9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48</xdr:row>
      <xdr:rowOff>19049</xdr:rowOff>
    </xdr:from>
    <xdr:to>
      <xdr:col>7</xdr:col>
      <xdr:colOff>885826</xdr:colOff>
      <xdr:row>66</xdr:row>
      <xdr:rowOff>161924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E813F438-AFA2-4D26-BC6E-82F6BE7BE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39"/>
  <sheetViews>
    <sheetView tabSelected="1" topLeftCell="A19" zoomScaleNormal="100" workbookViewId="0">
      <selection activeCell="N39" sqref="N39"/>
    </sheetView>
  </sheetViews>
  <sheetFormatPr defaultColWidth="12" defaultRowHeight="15.75" x14ac:dyDescent="0.15"/>
  <cols>
    <col min="1" max="1" width="12" style="1"/>
    <col min="2" max="2" width="13.25" style="1" customWidth="1"/>
    <col min="3" max="15" width="12" style="1"/>
    <col min="16" max="38" width="8.75" style="1" customWidth="1"/>
    <col min="39" max="16384" width="12" style="1"/>
  </cols>
  <sheetData>
    <row r="1" spans="2:39" s="5" customFormat="1" x14ac:dyDescent="0.15">
      <c r="B1" s="7"/>
      <c r="C1" s="7" t="s">
        <v>9</v>
      </c>
      <c r="D1" s="7" t="s">
        <v>10</v>
      </c>
      <c r="E1" s="7" t="s">
        <v>11</v>
      </c>
      <c r="F1" s="7" t="s">
        <v>14</v>
      </c>
      <c r="G1" s="7" t="s">
        <v>15</v>
      </c>
      <c r="H1" s="7" t="s">
        <v>12</v>
      </c>
      <c r="I1" s="7" t="s">
        <v>13</v>
      </c>
      <c r="J1" s="7" t="s">
        <v>8</v>
      </c>
      <c r="K1" s="7" t="s">
        <v>19</v>
      </c>
      <c r="L1" s="7" t="s">
        <v>7</v>
      </c>
      <c r="M1" s="7" t="s">
        <v>6</v>
      </c>
      <c r="N1" s="7" t="s">
        <v>5</v>
      </c>
      <c r="O1" s="7" t="s">
        <v>9</v>
      </c>
      <c r="P1" s="7" t="s">
        <v>10</v>
      </c>
      <c r="Q1" s="7" t="s">
        <v>11</v>
      </c>
      <c r="R1" s="7" t="s">
        <v>14</v>
      </c>
      <c r="S1" s="7" t="s">
        <v>15</v>
      </c>
      <c r="T1" s="7" t="s">
        <v>12</v>
      </c>
      <c r="U1" s="7" t="s">
        <v>13</v>
      </c>
      <c r="V1" s="7" t="s">
        <v>8</v>
      </c>
      <c r="W1" s="7" t="s">
        <v>20</v>
      </c>
      <c r="X1" s="7" t="s">
        <v>7</v>
      </c>
      <c r="Y1" s="7" t="s">
        <v>6</v>
      </c>
      <c r="Z1" s="7" t="s">
        <v>5</v>
      </c>
      <c r="AA1" s="7" t="s">
        <v>9</v>
      </c>
      <c r="AB1" s="7" t="s">
        <v>10</v>
      </c>
      <c r="AC1" s="7" t="s">
        <v>11</v>
      </c>
      <c r="AD1" s="7" t="s">
        <v>14</v>
      </c>
      <c r="AE1" s="7" t="s">
        <v>15</v>
      </c>
      <c r="AF1" s="7" t="s">
        <v>12</v>
      </c>
      <c r="AG1" s="7" t="s">
        <v>13</v>
      </c>
      <c r="AH1" s="7" t="s">
        <v>8</v>
      </c>
      <c r="AI1" s="7" t="s">
        <v>20</v>
      </c>
      <c r="AJ1" s="7" t="s">
        <v>7</v>
      </c>
      <c r="AK1" s="7" t="s">
        <v>6</v>
      </c>
      <c r="AL1" s="7" t="s">
        <v>5</v>
      </c>
      <c r="AM1" s="6" t="s">
        <v>4</v>
      </c>
    </row>
    <row r="2" spans="2:39" x14ac:dyDescent="0.15">
      <c r="B2" s="4" t="s">
        <v>3</v>
      </c>
      <c r="C2" s="4">
        <f>C9</f>
        <v>130</v>
      </c>
      <c r="D2" s="4">
        <f t="shared" ref="D2:N2" si="0">D9</f>
        <v>129</v>
      </c>
      <c r="E2" s="4">
        <f t="shared" si="0"/>
        <v>133</v>
      </c>
      <c r="F2" s="4">
        <f t="shared" si="0"/>
        <v>127</v>
      </c>
      <c r="G2" s="4">
        <f t="shared" si="0"/>
        <v>134</v>
      </c>
      <c r="H2" s="4">
        <f t="shared" si="0"/>
        <v>136</v>
      </c>
      <c r="I2" s="4">
        <f t="shared" si="0"/>
        <v>142</v>
      </c>
      <c r="J2" s="4">
        <f t="shared" si="0"/>
        <v>123</v>
      </c>
      <c r="K2" s="4">
        <f t="shared" si="0"/>
        <v>143</v>
      </c>
      <c r="L2" s="4">
        <f t="shared" si="0"/>
        <v>135</v>
      </c>
      <c r="M2" s="4">
        <f t="shared" si="0"/>
        <v>136</v>
      </c>
      <c r="N2" s="4">
        <f t="shared" si="0"/>
        <v>141</v>
      </c>
      <c r="O2" s="4">
        <f>C16</f>
        <v>125</v>
      </c>
      <c r="P2" s="4">
        <f t="shared" ref="P2:Z3" si="1">D16</f>
        <v>118</v>
      </c>
      <c r="Q2" s="4">
        <f t="shared" si="1"/>
        <v>162</v>
      </c>
      <c r="R2" s="4">
        <f t="shared" si="1"/>
        <v>155</v>
      </c>
      <c r="S2" s="4">
        <f t="shared" si="1"/>
        <v>195</v>
      </c>
      <c r="T2" s="4">
        <f t="shared" si="1"/>
        <v>176</v>
      </c>
      <c r="U2" s="4">
        <f t="shared" si="1"/>
        <v>145</v>
      </c>
      <c r="V2" s="4">
        <f t="shared" si="1"/>
        <v>131</v>
      </c>
      <c r="W2" s="4">
        <f t="shared" si="1"/>
        <v>175</v>
      </c>
      <c r="X2" s="4">
        <f t="shared" si="1"/>
        <v>204</v>
      </c>
      <c r="Y2" s="4">
        <f t="shared" si="1"/>
        <v>182</v>
      </c>
      <c r="Z2" s="4">
        <f t="shared" si="1"/>
        <v>216</v>
      </c>
      <c r="AA2" s="4">
        <f>C24</f>
        <v>189</v>
      </c>
      <c r="AB2" s="4">
        <f t="shared" ref="AB2:AL2" si="2">D24</f>
        <v>206</v>
      </c>
      <c r="AC2" s="4">
        <f t="shared" si="2"/>
        <v>198</v>
      </c>
      <c r="AD2" s="4">
        <f t="shared" si="2"/>
        <v>185</v>
      </c>
      <c r="AE2" s="4">
        <f t="shared" si="2"/>
        <v>231</v>
      </c>
      <c r="AF2" s="4">
        <f t="shared" si="2"/>
        <v>195</v>
      </c>
      <c r="AG2" s="4">
        <f t="shared" si="2"/>
        <v>233</v>
      </c>
      <c r="AH2" s="4">
        <f t="shared" si="2"/>
        <v>211</v>
      </c>
      <c r="AI2" s="4">
        <f t="shared" si="2"/>
        <v>179</v>
      </c>
      <c r="AJ2" s="4">
        <f t="shared" si="2"/>
        <v>269</v>
      </c>
      <c r="AK2" s="4">
        <f t="shared" si="2"/>
        <v>248</v>
      </c>
      <c r="AL2" s="4">
        <f t="shared" si="2"/>
        <v>274</v>
      </c>
      <c r="AM2" s="12">
        <f>SUM(C2:AL2)</f>
        <v>6211</v>
      </c>
    </row>
    <row r="3" spans="2:39" x14ac:dyDescent="0.15">
      <c r="B3" s="4" t="s">
        <v>2</v>
      </c>
      <c r="C3" s="4">
        <f t="shared" ref="C3:N5" si="3">C10</f>
        <v>61</v>
      </c>
      <c r="D3" s="4">
        <f t="shared" si="3"/>
        <v>31</v>
      </c>
      <c r="E3" s="4">
        <f t="shared" si="3"/>
        <v>18</v>
      </c>
      <c r="F3" s="4">
        <f t="shared" si="3"/>
        <v>12</v>
      </c>
      <c r="G3" s="4">
        <f t="shared" si="3"/>
        <v>16</v>
      </c>
      <c r="H3" s="4">
        <f t="shared" si="3"/>
        <v>12</v>
      </c>
      <c r="I3" s="4">
        <f t="shared" si="3"/>
        <v>11</v>
      </c>
      <c r="J3" s="4">
        <f t="shared" si="3"/>
        <v>9</v>
      </c>
      <c r="K3" s="4">
        <f t="shared" si="3"/>
        <v>12</v>
      </c>
      <c r="L3" s="4">
        <f t="shared" si="3"/>
        <v>12</v>
      </c>
      <c r="M3" s="4">
        <f t="shared" si="3"/>
        <v>13</v>
      </c>
      <c r="N3" s="4">
        <f t="shared" si="3"/>
        <v>14</v>
      </c>
      <c r="O3" s="4">
        <f t="shared" ref="O3" si="4">C17</f>
        <v>8</v>
      </c>
      <c r="P3" s="4">
        <f t="shared" si="1"/>
        <v>8</v>
      </c>
      <c r="Q3" s="4">
        <f t="shared" si="1"/>
        <v>25</v>
      </c>
      <c r="R3" s="4">
        <f t="shared" si="1"/>
        <v>24</v>
      </c>
      <c r="S3" s="4">
        <f t="shared" si="1"/>
        <v>17</v>
      </c>
      <c r="T3" s="4">
        <f t="shared" si="1"/>
        <v>27</v>
      </c>
      <c r="U3" s="4">
        <f t="shared" si="1"/>
        <v>14</v>
      </c>
      <c r="V3" s="4">
        <f t="shared" si="1"/>
        <v>14</v>
      </c>
      <c r="W3" s="4">
        <f t="shared" si="1"/>
        <v>40</v>
      </c>
      <c r="X3" s="4">
        <f t="shared" si="1"/>
        <v>21</v>
      </c>
      <c r="Y3" s="4">
        <f t="shared" si="1"/>
        <v>18</v>
      </c>
      <c r="Z3" s="4">
        <f t="shared" si="1"/>
        <v>18</v>
      </c>
      <c r="AA3" s="4">
        <f>C25</f>
        <v>21</v>
      </c>
      <c r="AB3" s="4">
        <f t="shared" ref="AB3:AL3" si="5">D25</f>
        <v>17</v>
      </c>
      <c r="AC3" s="4">
        <f t="shared" si="5"/>
        <v>89</v>
      </c>
      <c r="AD3" s="4">
        <f t="shared" si="5"/>
        <v>90</v>
      </c>
      <c r="AE3" s="4">
        <f t="shared" si="5"/>
        <v>131</v>
      </c>
      <c r="AF3" s="4">
        <f t="shared" si="5"/>
        <v>38</v>
      </c>
      <c r="AG3" s="4">
        <f t="shared" si="5"/>
        <v>30</v>
      </c>
      <c r="AH3" s="4">
        <f t="shared" si="5"/>
        <v>25</v>
      </c>
      <c r="AI3" s="4">
        <f t="shared" si="5"/>
        <v>29</v>
      </c>
      <c r="AJ3" s="4">
        <f t="shared" si="5"/>
        <v>35</v>
      </c>
      <c r="AK3" s="4">
        <f t="shared" si="5"/>
        <v>20</v>
      </c>
      <c r="AL3" s="4">
        <f t="shared" si="5"/>
        <v>16</v>
      </c>
      <c r="AM3" s="12">
        <f t="shared" ref="AM3:AM5" si="6">SUM(C3:AL3)</f>
        <v>996</v>
      </c>
    </row>
    <row r="4" spans="2:39" x14ac:dyDescent="0.15">
      <c r="B4" s="4" t="s">
        <v>1</v>
      </c>
      <c r="C4" s="4">
        <f t="shared" si="3"/>
        <v>32</v>
      </c>
      <c r="D4" s="4">
        <f t="shared" si="3"/>
        <v>9</v>
      </c>
      <c r="E4" s="4">
        <f t="shared" si="3"/>
        <v>5</v>
      </c>
      <c r="F4" s="4">
        <f t="shared" si="3"/>
        <v>4</v>
      </c>
      <c r="G4" s="4">
        <f t="shared" si="3"/>
        <v>5</v>
      </c>
      <c r="H4" s="4">
        <f t="shared" si="3"/>
        <v>6</v>
      </c>
      <c r="I4" s="4">
        <f t="shared" si="3"/>
        <v>2</v>
      </c>
      <c r="J4" s="4">
        <f t="shared" si="3"/>
        <v>1</v>
      </c>
      <c r="K4" s="4">
        <f t="shared" si="3"/>
        <v>3</v>
      </c>
      <c r="L4" s="4">
        <f t="shared" si="3"/>
        <v>3</v>
      </c>
      <c r="M4" s="4">
        <f t="shared" si="3"/>
        <v>9</v>
      </c>
      <c r="N4" s="4">
        <f t="shared" si="3"/>
        <v>3</v>
      </c>
      <c r="O4" s="4">
        <f t="shared" ref="O4:Z5" si="7">C19</f>
        <v>5</v>
      </c>
      <c r="P4" s="4">
        <f t="shared" si="7"/>
        <v>5</v>
      </c>
      <c r="Q4" s="4">
        <f t="shared" si="7"/>
        <v>5</v>
      </c>
      <c r="R4" s="4">
        <f t="shared" si="7"/>
        <v>5</v>
      </c>
      <c r="S4" s="4">
        <f t="shared" si="7"/>
        <v>8</v>
      </c>
      <c r="T4" s="4">
        <f t="shared" si="7"/>
        <v>4</v>
      </c>
      <c r="U4" s="4">
        <f t="shared" si="7"/>
        <v>5</v>
      </c>
      <c r="V4" s="4">
        <f t="shared" si="7"/>
        <v>1</v>
      </c>
      <c r="W4" s="4">
        <f t="shared" si="7"/>
        <v>4</v>
      </c>
      <c r="X4" s="4">
        <f t="shared" si="7"/>
        <v>5</v>
      </c>
      <c r="Y4" s="4">
        <f t="shared" si="7"/>
        <v>4</v>
      </c>
      <c r="Z4" s="4">
        <f t="shared" si="7"/>
        <v>4</v>
      </c>
      <c r="AA4" s="4">
        <f>C28</f>
        <v>452</v>
      </c>
      <c r="AB4" s="4">
        <f t="shared" ref="AB4:AL4" si="8">D28</f>
        <v>633</v>
      </c>
      <c r="AC4" s="4">
        <f t="shared" si="8"/>
        <v>604</v>
      </c>
      <c r="AD4" s="4">
        <f t="shared" si="8"/>
        <v>572</v>
      </c>
      <c r="AE4" s="4">
        <f t="shared" si="8"/>
        <v>543</v>
      </c>
      <c r="AF4" s="4">
        <f t="shared" si="8"/>
        <v>386</v>
      </c>
      <c r="AG4" s="4">
        <f t="shared" si="8"/>
        <v>453</v>
      </c>
      <c r="AH4" s="4">
        <f t="shared" si="8"/>
        <v>471</v>
      </c>
      <c r="AI4" s="4">
        <f t="shared" si="8"/>
        <v>597</v>
      </c>
      <c r="AJ4" s="4">
        <f t="shared" si="8"/>
        <v>544</v>
      </c>
      <c r="AK4" s="4">
        <f t="shared" si="8"/>
        <v>510</v>
      </c>
      <c r="AL4" s="4">
        <f t="shared" si="8"/>
        <v>449</v>
      </c>
      <c r="AM4" s="12">
        <f t="shared" si="6"/>
        <v>6351</v>
      </c>
    </row>
    <row r="5" spans="2:39" x14ac:dyDescent="0.15">
      <c r="B5" s="4" t="s">
        <v>0</v>
      </c>
      <c r="C5" s="4">
        <f t="shared" si="3"/>
        <v>279</v>
      </c>
      <c r="D5" s="4">
        <f t="shared" si="3"/>
        <v>62</v>
      </c>
      <c r="E5" s="4">
        <f t="shared" si="3"/>
        <v>35</v>
      </c>
      <c r="F5" s="4">
        <f t="shared" si="3"/>
        <v>25</v>
      </c>
      <c r="G5" s="4">
        <f t="shared" si="3"/>
        <v>23</v>
      </c>
      <c r="H5" s="4">
        <f t="shared" si="3"/>
        <v>19</v>
      </c>
      <c r="I5" s="4">
        <f t="shared" si="3"/>
        <v>35</v>
      </c>
      <c r="J5" s="4">
        <f t="shared" si="3"/>
        <v>17</v>
      </c>
      <c r="K5" s="4">
        <f t="shared" si="3"/>
        <v>22</v>
      </c>
      <c r="L5" s="4">
        <f t="shared" si="3"/>
        <v>10</v>
      </c>
      <c r="M5" s="4">
        <f t="shared" si="3"/>
        <v>21</v>
      </c>
      <c r="N5" s="4">
        <f t="shared" si="3"/>
        <v>22</v>
      </c>
      <c r="O5" s="4">
        <f t="shared" si="7"/>
        <v>21</v>
      </c>
      <c r="P5" s="4">
        <f t="shared" si="7"/>
        <v>24</v>
      </c>
      <c r="Q5" s="4">
        <f t="shared" si="7"/>
        <v>18</v>
      </c>
      <c r="R5" s="4">
        <f t="shared" si="7"/>
        <v>70</v>
      </c>
      <c r="S5" s="4">
        <f t="shared" si="7"/>
        <v>35</v>
      </c>
      <c r="T5" s="4">
        <f t="shared" si="7"/>
        <v>38</v>
      </c>
      <c r="U5" s="4">
        <f t="shared" si="7"/>
        <v>27</v>
      </c>
      <c r="V5" s="4">
        <f t="shared" si="7"/>
        <v>19</v>
      </c>
      <c r="W5" s="4">
        <f t="shared" si="7"/>
        <v>24</v>
      </c>
      <c r="X5" s="4">
        <f t="shared" si="7"/>
        <v>32</v>
      </c>
      <c r="Y5" s="4">
        <f t="shared" si="7"/>
        <v>28</v>
      </c>
      <c r="Z5" s="4">
        <f t="shared" si="7"/>
        <v>29</v>
      </c>
      <c r="AA5" s="4">
        <f>C29</f>
        <v>42</v>
      </c>
      <c r="AB5" s="4">
        <f t="shared" ref="AB5:AL5" si="9">D29</f>
        <v>25</v>
      </c>
      <c r="AC5" s="4">
        <f t="shared" si="9"/>
        <v>37</v>
      </c>
      <c r="AD5" s="4">
        <f t="shared" si="9"/>
        <v>28</v>
      </c>
      <c r="AE5" s="4">
        <f t="shared" si="9"/>
        <v>29</v>
      </c>
      <c r="AF5" s="4">
        <f t="shared" si="9"/>
        <v>30</v>
      </c>
      <c r="AG5" s="4">
        <f t="shared" si="9"/>
        <v>38</v>
      </c>
      <c r="AH5" s="4">
        <f t="shared" si="9"/>
        <v>24</v>
      </c>
      <c r="AI5" s="4">
        <f t="shared" si="9"/>
        <v>21</v>
      </c>
      <c r="AJ5" s="4">
        <f t="shared" si="9"/>
        <v>34</v>
      </c>
      <c r="AK5" s="4">
        <f t="shared" si="9"/>
        <v>22</v>
      </c>
      <c r="AL5" s="4">
        <f t="shared" si="9"/>
        <v>24</v>
      </c>
      <c r="AM5" s="12">
        <f t="shared" si="6"/>
        <v>1289</v>
      </c>
    </row>
    <row r="6" spans="2:39" s="8" customFormat="1" ht="12" customHeight="1" x14ac:dyDescent="0.15">
      <c r="E6" s="9"/>
    </row>
    <row r="7" spans="2:39" x14ac:dyDescent="0.15">
      <c r="B7" s="1" t="s">
        <v>17</v>
      </c>
    </row>
    <row r="8" spans="2:39" x14ac:dyDescent="0.15">
      <c r="B8" s="7"/>
      <c r="C8" s="7" t="s">
        <v>9</v>
      </c>
      <c r="D8" s="7" t="s">
        <v>10</v>
      </c>
      <c r="E8" s="7" t="s">
        <v>11</v>
      </c>
      <c r="F8" s="7" t="s">
        <v>14</v>
      </c>
      <c r="G8" s="7" t="s">
        <v>15</v>
      </c>
      <c r="H8" s="7" t="s">
        <v>12</v>
      </c>
      <c r="I8" s="7" t="s">
        <v>13</v>
      </c>
      <c r="J8" s="7" t="s">
        <v>8</v>
      </c>
      <c r="K8" s="7" t="s">
        <v>16</v>
      </c>
      <c r="L8" s="7" t="s">
        <v>7</v>
      </c>
      <c r="M8" s="7" t="s">
        <v>6</v>
      </c>
      <c r="N8" s="7" t="s">
        <v>5</v>
      </c>
      <c r="O8" s="6" t="s">
        <v>4</v>
      </c>
      <c r="AA8" s="5"/>
    </row>
    <row r="9" spans="2:39" x14ac:dyDescent="0.15">
      <c r="B9" s="4" t="s">
        <v>3</v>
      </c>
      <c r="C9" s="4">
        <v>130</v>
      </c>
      <c r="D9" s="4">
        <v>129</v>
      </c>
      <c r="E9" s="4">
        <v>133</v>
      </c>
      <c r="F9" s="4">
        <v>127</v>
      </c>
      <c r="G9" s="4">
        <v>134</v>
      </c>
      <c r="H9" s="4">
        <v>136</v>
      </c>
      <c r="I9" s="4">
        <v>142</v>
      </c>
      <c r="J9" s="4">
        <v>123</v>
      </c>
      <c r="K9" s="4">
        <v>143</v>
      </c>
      <c r="L9" s="4">
        <v>135</v>
      </c>
      <c r="M9" s="3">
        <v>136</v>
      </c>
      <c r="N9" s="11">
        <v>141</v>
      </c>
      <c r="O9" s="2">
        <f>SUM(C9:N9)</f>
        <v>1609</v>
      </c>
    </row>
    <row r="10" spans="2:39" x14ac:dyDescent="0.15">
      <c r="B10" s="4" t="s">
        <v>2</v>
      </c>
      <c r="C10" s="4">
        <v>61</v>
      </c>
      <c r="D10" s="4">
        <v>31</v>
      </c>
      <c r="E10" s="4">
        <v>18</v>
      </c>
      <c r="F10" s="4">
        <v>12</v>
      </c>
      <c r="G10" s="4">
        <v>16</v>
      </c>
      <c r="H10" s="4">
        <v>12</v>
      </c>
      <c r="I10" s="4">
        <v>11</v>
      </c>
      <c r="J10" s="4">
        <v>9</v>
      </c>
      <c r="K10" s="4">
        <v>12</v>
      </c>
      <c r="L10" s="4">
        <v>12</v>
      </c>
      <c r="M10" s="3">
        <v>13</v>
      </c>
      <c r="N10" s="11">
        <v>14</v>
      </c>
      <c r="O10" s="2">
        <f>SUM(C10:N10)</f>
        <v>221</v>
      </c>
    </row>
    <row r="11" spans="2:39" x14ac:dyDescent="0.15">
      <c r="B11" s="4" t="s">
        <v>1</v>
      </c>
      <c r="C11" s="4">
        <v>32</v>
      </c>
      <c r="D11" s="4">
        <v>9</v>
      </c>
      <c r="E11" s="4">
        <v>5</v>
      </c>
      <c r="F11" s="4">
        <v>4</v>
      </c>
      <c r="G11" s="4">
        <v>5</v>
      </c>
      <c r="H11" s="4">
        <v>6</v>
      </c>
      <c r="I11" s="4">
        <v>2</v>
      </c>
      <c r="J11" s="4">
        <v>1</v>
      </c>
      <c r="K11" s="4">
        <v>3</v>
      </c>
      <c r="L11" s="4">
        <v>3</v>
      </c>
      <c r="M11" s="3">
        <v>9</v>
      </c>
      <c r="N11" s="3">
        <v>3</v>
      </c>
      <c r="O11" s="2">
        <f>SUM(C11:N11)</f>
        <v>82</v>
      </c>
    </row>
    <row r="12" spans="2:39" x14ac:dyDescent="0.15">
      <c r="B12" s="4" t="s">
        <v>0</v>
      </c>
      <c r="C12" s="4">
        <v>279</v>
      </c>
      <c r="D12" s="4">
        <v>62</v>
      </c>
      <c r="E12" s="4">
        <v>35</v>
      </c>
      <c r="F12" s="4">
        <v>25</v>
      </c>
      <c r="G12" s="4">
        <v>23</v>
      </c>
      <c r="H12" s="4">
        <v>19</v>
      </c>
      <c r="I12" s="4">
        <v>35</v>
      </c>
      <c r="J12" s="4">
        <v>17</v>
      </c>
      <c r="K12" s="4">
        <v>22</v>
      </c>
      <c r="L12" s="4">
        <v>10</v>
      </c>
      <c r="M12" s="3">
        <v>21</v>
      </c>
      <c r="N12" s="3">
        <v>22</v>
      </c>
      <c r="O12" s="2">
        <f>SUM(C12:N12)</f>
        <v>570</v>
      </c>
    </row>
    <row r="14" spans="2:39" ht="19.5" customHeight="1" x14ac:dyDescent="0.15">
      <c r="B14" s="1" t="s">
        <v>18</v>
      </c>
    </row>
    <row r="15" spans="2:39" ht="19.5" customHeight="1" x14ac:dyDescent="0.15">
      <c r="B15" s="7"/>
      <c r="C15" s="7" t="s">
        <v>9</v>
      </c>
      <c r="D15" s="7" t="s">
        <v>10</v>
      </c>
      <c r="E15" s="7" t="s">
        <v>11</v>
      </c>
      <c r="F15" s="7" t="s">
        <v>14</v>
      </c>
      <c r="G15" s="7" t="s">
        <v>15</v>
      </c>
      <c r="H15" s="7" t="s">
        <v>12</v>
      </c>
      <c r="I15" s="7" t="s">
        <v>13</v>
      </c>
      <c r="J15" s="7" t="s">
        <v>8</v>
      </c>
      <c r="K15" s="7" t="s">
        <v>16</v>
      </c>
      <c r="L15" s="7" t="s">
        <v>7</v>
      </c>
      <c r="M15" s="7" t="s">
        <v>6</v>
      </c>
      <c r="N15" s="7" t="s">
        <v>5</v>
      </c>
      <c r="O15" s="6" t="s">
        <v>4</v>
      </c>
      <c r="AA15" s="5"/>
    </row>
    <row r="16" spans="2:39" ht="19.5" customHeight="1" x14ac:dyDescent="0.15">
      <c r="B16" s="4" t="s">
        <v>3</v>
      </c>
      <c r="C16" s="4">
        <v>125</v>
      </c>
      <c r="D16" s="4">
        <v>118</v>
      </c>
      <c r="E16" s="4">
        <v>162</v>
      </c>
      <c r="F16" s="4">
        <v>155</v>
      </c>
      <c r="G16" s="4">
        <v>195</v>
      </c>
      <c r="H16" s="4">
        <v>176</v>
      </c>
      <c r="I16" s="4">
        <v>145</v>
      </c>
      <c r="J16" s="4">
        <v>131</v>
      </c>
      <c r="K16" s="4">
        <v>175</v>
      </c>
      <c r="L16" s="4">
        <v>204</v>
      </c>
      <c r="M16" s="3">
        <v>182</v>
      </c>
      <c r="N16" s="3">
        <v>216</v>
      </c>
      <c r="O16" s="12">
        <f>SUM(C16:N16)</f>
        <v>1984</v>
      </c>
      <c r="AA16" s="15"/>
    </row>
    <row r="17" spans="2:27" ht="19.5" customHeight="1" x14ac:dyDescent="0.15">
      <c r="B17" s="4" t="s">
        <v>2</v>
      </c>
      <c r="C17" s="4">
        <v>8</v>
      </c>
      <c r="D17" s="4">
        <v>8</v>
      </c>
      <c r="E17" s="4">
        <v>25</v>
      </c>
      <c r="F17" s="4">
        <v>24</v>
      </c>
      <c r="G17" s="4">
        <v>17</v>
      </c>
      <c r="H17" s="4">
        <v>27</v>
      </c>
      <c r="I17" s="4">
        <v>14</v>
      </c>
      <c r="J17" s="4">
        <v>14</v>
      </c>
      <c r="K17" s="4">
        <v>40</v>
      </c>
      <c r="L17" s="4">
        <v>21</v>
      </c>
      <c r="M17" s="3">
        <v>18</v>
      </c>
      <c r="N17" s="3">
        <v>18</v>
      </c>
      <c r="O17" s="12">
        <f t="shared" ref="O17:O19" si="10">SUM(C17:N17)</f>
        <v>234</v>
      </c>
      <c r="AA17" s="15"/>
    </row>
    <row r="18" spans="2:27" ht="19.5" customHeight="1" x14ac:dyDescent="0.15">
      <c r="B18" s="4" t="s">
        <v>21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3">
        <v>18</v>
      </c>
      <c r="N18" s="3">
        <v>17</v>
      </c>
      <c r="O18" s="12">
        <f t="shared" si="10"/>
        <v>35</v>
      </c>
      <c r="AA18" s="15"/>
    </row>
    <row r="19" spans="2:27" ht="19.5" customHeight="1" x14ac:dyDescent="0.15">
      <c r="B19" s="4" t="s">
        <v>1</v>
      </c>
      <c r="C19" s="4">
        <v>5</v>
      </c>
      <c r="D19" s="4">
        <v>5</v>
      </c>
      <c r="E19" s="4">
        <v>5</v>
      </c>
      <c r="F19" s="4">
        <v>5</v>
      </c>
      <c r="G19" s="4">
        <v>8</v>
      </c>
      <c r="H19" s="4">
        <v>4</v>
      </c>
      <c r="I19" s="4">
        <v>5</v>
      </c>
      <c r="J19" s="4">
        <v>1</v>
      </c>
      <c r="K19" s="4">
        <v>4</v>
      </c>
      <c r="L19" s="4">
        <v>5</v>
      </c>
      <c r="M19" s="3">
        <v>4</v>
      </c>
      <c r="N19" s="3">
        <v>4</v>
      </c>
      <c r="O19" s="12">
        <f t="shared" si="10"/>
        <v>55</v>
      </c>
      <c r="AA19" s="15"/>
    </row>
    <row r="20" spans="2:27" ht="19.5" customHeight="1" x14ac:dyDescent="0.15">
      <c r="B20" s="4" t="s">
        <v>0</v>
      </c>
      <c r="C20" s="4">
        <v>21</v>
      </c>
      <c r="D20" s="4">
        <v>24</v>
      </c>
      <c r="E20" s="4">
        <v>18</v>
      </c>
      <c r="F20" s="4">
        <v>70</v>
      </c>
      <c r="G20" s="4">
        <v>35</v>
      </c>
      <c r="H20" s="4">
        <v>38</v>
      </c>
      <c r="I20" s="4">
        <v>27</v>
      </c>
      <c r="J20" s="4">
        <v>19</v>
      </c>
      <c r="K20" s="4">
        <v>24</v>
      </c>
      <c r="L20" s="4">
        <v>32</v>
      </c>
      <c r="M20" s="3">
        <v>28</v>
      </c>
      <c r="N20" s="3">
        <v>29</v>
      </c>
      <c r="O20" s="12">
        <f>SUM(C20:N20)+O12</f>
        <v>935</v>
      </c>
      <c r="AA20" s="15"/>
    </row>
    <row r="21" spans="2:27" ht="19.5" customHeight="1" x14ac:dyDescent="0.15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  <c r="AA21" s="15"/>
    </row>
    <row r="22" spans="2:27" ht="19.5" customHeight="1" x14ac:dyDescent="0.15">
      <c r="B22" s="1" t="s">
        <v>22</v>
      </c>
      <c r="O22" s="13"/>
      <c r="AA22" s="15"/>
    </row>
    <row r="23" spans="2:27" ht="19.5" customHeight="1" x14ac:dyDescent="0.15">
      <c r="B23" s="7"/>
      <c r="C23" s="7" t="s">
        <v>9</v>
      </c>
      <c r="D23" s="7" t="s">
        <v>10</v>
      </c>
      <c r="E23" s="7" t="s">
        <v>11</v>
      </c>
      <c r="F23" s="7" t="s">
        <v>14</v>
      </c>
      <c r="G23" s="7" t="s">
        <v>15</v>
      </c>
      <c r="H23" s="7" t="s">
        <v>12</v>
      </c>
      <c r="I23" s="7" t="s">
        <v>13</v>
      </c>
      <c r="J23" s="7" t="s">
        <v>8</v>
      </c>
      <c r="K23" s="7" t="s">
        <v>16</v>
      </c>
      <c r="L23" s="7" t="s">
        <v>7</v>
      </c>
      <c r="M23" s="7" t="s">
        <v>6</v>
      </c>
      <c r="N23" s="7" t="s">
        <v>5</v>
      </c>
      <c r="O23" s="14" t="s">
        <v>4</v>
      </c>
      <c r="AA23" s="16"/>
    </row>
    <row r="24" spans="2:27" ht="19.5" customHeight="1" x14ac:dyDescent="0.15">
      <c r="B24" s="4" t="s">
        <v>3</v>
      </c>
      <c r="C24" s="4">
        <v>189</v>
      </c>
      <c r="D24" s="4">
        <v>206</v>
      </c>
      <c r="E24" s="4">
        <v>198</v>
      </c>
      <c r="F24" s="4">
        <v>185</v>
      </c>
      <c r="G24" s="4">
        <v>231</v>
      </c>
      <c r="H24" s="4">
        <v>195</v>
      </c>
      <c r="I24" s="4">
        <v>233</v>
      </c>
      <c r="J24" s="4">
        <v>211</v>
      </c>
      <c r="K24" s="4">
        <v>179</v>
      </c>
      <c r="L24" s="4">
        <v>269</v>
      </c>
      <c r="M24" s="3">
        <v>248</v>
      </c>
      <c r="N24" s="3">
        <v>274</v>
      </c>
      <c r="O24" s="12">
        <f>SUM(C24:N24)</f>
        <v>2618</v>
      </c>
      <c r="AA24" s="15"/>
    </row>
    <row r="25" spans="2:27" ht="19.5" customHeight="1" x14ac:dyDescent="0.15">
      <c r="B25" s="4" t="s">
        <v>2</v>
      </c>
      <c r="C25" s="4">
        <v>21</v>
      </c>
      <c r="D25" s="4">
        <v>17</v>
      </c>
      <c r="E25" s="4">
        <v>89</v>
      </c>
      <c r="F25" s="4">
        <v>90</v>
      </c>
      <c r="G25" s="4">
        <v>131</v>
      </c>
      <c r="H25" s="4">
        <v>38</v>
      </c>
      <c r="I25" s="4">
        <v>30</v>
      </c>
      <c r="J25" s="4">
        <v>25</v>
      </c>
      <c r="K25" s="4">
        <v>29</v>
      </c>
      <c r="L25" s="4">
        <v>35</v>
      </c>
      <c r="M25" s="3">
        <v>20</v>
      </c>
      <c r="N25" s="3">
        <v>16</v>
      </c>
      <c r="O25" s="12">
        <f t="shared" ref="O25:O28" si="11">SUM(C25:N25)</f>
        <v>541</v>
      </c>
      <c r="AA25" s="15"/>
    </row>
    <row r="26" spans="2:27" ht="19.5" customHeight="1" x14ac:dyDescent="0.15">
      <c r="B26" s="4" t="s">
        <v>21</v>
      </c>
      <c r="C26" s="4">
        <v>15</v>
      </c>
      <c r="D26" s="4">
        <v>16</v>
      </c>
      <c r="E26" s="4">
        <v>19</v>
      </c>
      <c r="F26" s="4">
        <v>17</v>
      </c>
      <c r="G26" s="4">
        <v>22</v>
      </c>
      <c r="H26" s="4">
        <v>18</v>
      </c>
      <c r="I26" s="4">
        <v>21</v>
      </c>
      <c r="J26" s="4">
        <v>21</v>
      </c>
      <c r="K26" s="4">
        <v>17</v>
      </c>
      <c r="L26" s="4">
        <v>25</v>
      </c>
      <c r="M26" s="3">
        <v>31</v>
      </c>
      <c r="N26" s="3">
        <v>26</v>
      </c>
      <c r="O26" s="12">
        <f t="shared" si="11"/>
        <v>248</v>
      </c>
      <c r="AA26" s="15"/>
    </row>
    <row r="27" spans="2:27" ht="19.5" customHeight="1" x14ac:dyDescent="0.15">
      <c r="B27" s="4" t="s">
        <v>1</v>
      </c>
      <c r="C27" s="4">
        <v>3</v>
      </c>
      <c r="D27" s="4">
        <v>4</v>
      </c>
      <c r="E27" s="4">
        <v>3</v>
      </c>
      <c r="F27" s="4">
        <v>3</v>
      </c>
      <c r="G27" s="4">
        <v>3</v>
      </c>
      <c r="H27" s="4">
        <v>4</v>
      </c>
      <c r="I27" s="4">
        <v>3</v>
      </c>
      <c r="J27" s="4">
        <v>5</v>
      </c>
      <c r="K27" s="4">
        <v>4</v>
      </c>
      <c r="L27" s="4">
        <v>5</v>
      </c>
      <c r="M27" s="3">
        <v>3</v>
      </c>
      <c r="N27" s="3">
        <v>2</v>
      </c>
      <c r="O27" s="12">
        <f t="shared" si="11"/>
        <v>42</v>
      </c>
      <c r="AA27" s="15"/>
    </row>
    <row r="28" spans="2:27" ht="19.5" customHeight="1" x14ac:dyDescent="0.15">
      <c r="B28" s="4" t="s">
        <v>24</v>
      </c>
      <c r="C28" s="4">
        <v>452</v>
      </c>
      <c r="D28" s="4">
        <v>633</v>
      </c>
      <c r="E28" s="4">
        <v>604</v>
      </c>
      <c r="F28" s="4">
        <v>572</v>
      </c>
      <c r="G28" s="4">
        <v>543</v>
      </c>
      <c r="H28" s="4">
        <v>386</v>
      </c>
      <c r="I28" s="4">
        <v>453</v>
      </c>
      <c r="J28" s="4">
        <v>471</v>
      </c>
      <c r="K28" s="4">
        <v>597</v>
      </c>
      <c r="L28" s="4">
        <v>544</v>
      </c>
      <c r="M28" s="3">
        <v>510</v>
      </c>
      <c r="N28" s="3">
        <v>449</v>
      </c>
      <c r="O28" s="12">
        <f t="shared" si="11"/>
        <v>6214</v>
      </c>
      <c r="AA28" s="15"/>
    </row>
    <row r="29" spans="2:27" ht="19.5" customHeight="1" x14ac:dyDescent="0.15">
      <c r="B29" s="4" t="s">
        <v>0</v>
      </c>
      <c r="C29" s="4">
        <v>42</v>
      </c>
      <c r="D29" s="4">
        <v>25</v>
      </c>
      <c r="E29" s="4">
        <v>37</v>
      </c>
      <c r="F29" s="4">
        <v>28</v>
      </c>
      <c r="G29" s="4">
        <v>29</v>
      </c>
      <c r="H29" s="4">
        <v>30</v>
      </c>
      <c r="I29" s="4">
        <v>38</v>
      </c>
      <c r="J29" s="4">
        <v>24</v>
      </c>
      <c r="K29" s="4">
        <v>21</v>
      </c>
      <c r="L29" s="4">
        <v>34</v>
      </c>
      <c r="M29" s="3">
        <v>22</v>
      </c>
      <c r="N29" s="3">
        <v>24</v>
      </c>
      <c r="O29" s="12">
        <f>SUM(C29:N29)+O20</f>
        <v>1289</v>
      </c>
      <c r="AA29" s="15"/>
    </row>
    <row r="30" spans="2:27" ht="19.5" customHeight="1" x14ac:dyDescent="0.15">
      <c r="E30" s="10"/>
      <c r="F30" s="10"/>
      <c r="G30" s="10"/>
      <c r="H30" s="10"/>
      <c r="I30" s="10"/>
      <c r="J30" s="10"/>
      <c r="K30" s="10"/>
      <c r="L30" s="10"/>
      <c r="M30" s="10"/>
    </row>
    <row r="31" spans="2:27" ht="19.5" customHeight="1" x14ac:dyDescent="0.15">
      <c r="B31" s="1" t="s">
        <v>22</v>
      </c>
      <c r="O31" s="13"/>
      <c r="AA31" s="15"/>
    </row>
    <row r="32" spans="2:27" ht="19.5" customHeight="1" x14ac:dyDescent="0.15">
      <c r="B32" s="7"/>
      <c r="C32" s="7" t="s">
        <v>9</v>
      </c>
      <c r="D32" s="7" t="s">
        <v>10</v>
      </c>
      <c r="E32" s="7" t="s">
        <v>11</v>
      </c>
      <c r="F32" s="7" t="s">
        <v>14</v>
      </c>
      <c r="G32" s="7" t="s">
        <v>15</v>
      </c>
      <c r="H32" s="7" t="s">
        <v>12</v>
      </c>
      <c r="I32" s="7" t="s">
        <v>13</v>
      </c>
      <c r="J32" s="7" t="s">
        <v>8</v>
      </c>
      <c r="K32" s="7" t="s">
        <v>16</v>
      </c>
      <c r="L32" s="7" t="s">
        <v>7</v>
      </c>
      <c r="M32" s="7" t="s">
        <v>6</v>
      </c>
      <c r="N32" s="7" t="s">
        <v>5</v>
      </c>
      <c r="O32" s="14" t="s">
        <v>4</v>
      </c>
      <c r="AA32" s="16"/>
    </row>
    <row r="33" spans="2:27" ht="19.5" customHeight="1" x14ac:dyDescent="0.15">
      <c r="B33" s="4" t="s">
        <v>3</v>
      </c>
      <c r="C33" s="4">
        <v>247</v>
      </c>
      <c r="D33" s="4">
        <v>260</v>
      </c>
      <c r="E33" s="4">
        <v>234</v>
      </c>
      <c r="F33" s="4">
        <v>215</v>
      </c>
      <c r="G33" s="4">
        <v>240</v>
      </c>
      <c r="H33" s="4">
        <v>242</v>
      </c>
      <c r="I33" s="4">
        <v>224</v>
      </c>
      <c r="J33" s="4">
        <v>223</v>
      </c>
      <c r="K33" s="4">
        <v>233</v>
      </c>
      <c r="L33" s="4">
        <v>281</v>
      </c>
      <c r="M33" s="3">
        <v>230</v>
      </c>
      <c r="N33" s="3">
        <v>258</v>
      </c>
      <c r="O33" s="12">
        <f>SUM(C33:N33)</f>
        <v>2887</v>
      </c>
      <c r="AA33" s="15"/>
    </row>
    <row r="34" spans="2:27" ht="19.5" customHeight="1" x14ac:dyDescent="0.15">
      <c r="B34" s="4" t="s">
        <v>2</v>
      </c>
      <c r="C34" s="4">
        <v>21</v>
      </c>
      <c r="D34" s="4">
        <v>22</v>
      </c>
      <c r="E34" s="4">
        <v>26</v>
      </c>
      <c r="F34" s="4">
        <v>22</v>
      </c>
      <c r="G34" s="4">
        <v>14</v>
      </c>
      <c r="H34" s="4">
        <v>12</v>
      </c>
      <c r="I34" s="4">
        <v>15</v>
      </c>
      <c r="J34" s="4">
        <v>11</v>
      </c>
      <c r="K34" s="4">
        <v>38</v>
      </c>
      <c r="L34" s="4">
        <v>21</v>
      </c>
      <c r="M34" s="3">
        <v>15</v>
      </c>
      <c r="N34" s="3">
        <v>19</v>
      </c>
      <c r="O34" s="12">
        <f>SUM(C34:N34)</f>
        <v>236</v>
      </c>
      <c r="AA34" s="15"/>
    </row>
    <row r="35" spans="2:27" ht="19.5" customHeight="1" x14ac:dyDescent="0.15">
      <c r="B35" s="4" t="s">
        <v>21</v>
      </c>
      <c r="C35" s="4">
        <v>21</v>
      </c>
      <c r="D35" s="4">
        <v>30</v>
      </c>
      <c r="E35" s="4">
        <v>27</v>
      </c>
      <c r="F35" s="4">
        <v>24</v>
      </c>
      <c r="G35" s="4">
        <v>30</v>
      </c>
      <c r="H35" s="4">
        <v>24</v>
      </c>
      <c r="I35" s="4">
        <v>23</v>
      </c>
      <c r="J35" s="4">
        <v>29</v>
      </c>
      <c r="K35" s="4">
        <v>21</v>
      </c>
      <c r="L35" s="4">
        <v>23</v>
      </c>
      <c r="M35" s="3">
        <v>17</v>
      </c>
      <c r="N35" s="3">
        <v>31</v>
      </c>
      <c r="O35" s="12">
        <f t="shared" ref="O35" si="12">SUM(C35:N35)</f>
        <v>300</v>
      </c>
      <c r="AA35" s="15"/>
    </row>
    <row r="36" spans="2:27" ht="19.5" customHeight="1" x14ac:dyDescent="0.15">
      <c r="B36" s="4" t="s">
        <v>1</v>
      </c>
      <c r="C36" s="4">
        <v>5</v>
      </c>
      <c r="D36" s="4">
        <v>3</v>
      </c>
      <c r="E36" s="4">
        <v>2</v>
      </c>
      <c r="F36" s="4">
        <v>2</v>
      </c>
      <c r="G36" s="4">
        <v>2</v>
      </c>
      <c r="H36" s="4">
        <v>3</v>
      </c>
      <c r="I36" s="4">
        <v>5</v>
      </c>
      <c r="J36" s="4">
        <v>1</v>
      </c>
      <c r="K36" s="4">
        <v>2</v>
      </c>
      <c r="L36" s="4">
        <v>3</v>
      </c>
      <c r="M36" s="3">
        <v>5</v>
      </c>
      <c r="N36" s="3">
        <v>1</v>
      </c>
      <c r="O36" s="12">
        <f>SUM(C36:N36)</f>
        <v>34</v>
      </c>
      <c r="AA36" s="15"/>
    </row>
    <row r="37" spans="2:27" ht="19.5" customHeight="1" x14ac:dyDescent="0.15">
      <c r="B37" s="4" t="s">
        <v>24</v>
      </c>
      <c r="C37" s="4">
        <v>570</v>
      </c>
      <c r="D37" s="4">
        <v>577</v>
      </c>
      <c r="E37" s="4">
        <v>520</v>
      </c>
      <c r="F37" s="4">
        <v>469</v>
      </c>
      <c r="G37" s="4">
        <v>375</v>
      </c>
      <c r="H37" s="4">
        <v>393</v>
      </c>
      <c r="I37" s="4">
        <v>488</v>
      </c>
      <c r="J37" s="4">
        <v>558</v>
      </c>
      <c r="K37" s="4">
        <v>609</v>
      </c>
      <c r="L37" s="4">
        <v>566</v>
      </c>
      <c r="M37" s="3">
        <v>494</v>
      </c>
      <c r="N37" s="3">
        <v>420</v>
      </c>
      <c r="O37" s="12">
        <f>SUM(C37:N37)</f>
        <v>6039</v>
      </c>
      <c r="AA37" s="15"/>
    </row>
    <row r="38" spans="2:27" ht="19.5" customHeight="1" x14ac:dyDescent="0.15">
      <c r="B38" s="4" t="s">
        <v>0</v>
      </c>
      <c r="C38" s="4">
        <v>28</v>
      </c>
      <c r="D38" s="4">
        <v>25</v>
      </c>
      <c r="E38" s="4">
        <v>16</v>
      </c>
      <c r="F38" s="4">
        <v>16</v>
      </c>
      <c r="G38" s="4">
        <v>26</v>
      </c>
      <c r="H38" s="4">
        <v>17</v>
      </c>
      <c r="I38" s="4">
        <v>16</v>
      </c>
      <c r="J38" s="4">
        <v>11</v>
      </c>
      <c r="K38" s="4">
        <v>21</v>
      </c>
      <c r="L38" s="4">
        <v>18</v>
      </c>
      <c r="M38" s="3">
        <v>18</v>
      </c>
      <c r="N38" s="3">
        <v>18</v>
      </c>
      <c r="O38" s="12">
        <f>SUM(C38:N38)+O29</f>
        <v>1519</v>
      </c>
      <c r="AA38" s="15"/>
    </row>
    <row r="39" spans="2:27" ht="19.5" customHeight="1" x14ac:dyDescent="0.15">
      <c r="E39" s="10"/>
      <c r="F39" s="10"/>
      <c r="G39" s="10"/>
      <c r="H39" s="10"/>
      <c r="I39" s="10"/>
      <c r="J39" s="10"/>
      <c r="K39" s="10"/>
      <c r="L39" s="10"/>
      <c r="M39" s="10"/>
      <c r="N39" s="1" t="s">
        <v>25</v>
      </c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8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30"/>
  <sheetViews>
    <sheetView topLeftCell="A7" zoomScaleNormal="100" workbookViewId="0">
      <selection activeCell="Q58" sqref="Q58"/>
    </sheetView>
  </sheetViews>
  <sheetFormatPr defaultColWidth="12" defaultRowHeight="15.75" x14ac:dyDescent="0.15"/>
  <cols>
    <col min="1" max="1" width="12" style="1"/>
    <col min="2" max="2" width="13.25" style="1" customWidth="1"/>
    <col min="3" max="15" width="12" style="1"/>
    <col min="16" max="38" width="8.75" style="1" customWidth="1"/>
    <col min="39" max="16384" width="12" style="1"/>
  </cols>
  <sheetData>
    <row r="1" spans="2:39" s="5" customFormat="1" x14ac:dyDescent="0.15">
      <c r="B1" s="7"/>
      <c r="C1" s="7" t="s">
        <v>9</v>
      </c>
      <c r="D1" s="7" t="s">
        <v>10</v>
      </c>
      <c r="E1" s="7" t="s">
        <v>11</v>
      </c>
      <c r="F1" s="7" t="s">
        <v>14</v>
      </c>
      <c r="G1" s="7" t="s">
        <v>15</v>
      </c>
      <c r="H1" s="7" t="s">
        <v>12</v>
      </c>
      <c r="I1" s="7" t="s">
        <v>13</v>
      </c>
      <c r="J1" s="7" t="s">
        <v>8</v>
      </c>
      <c r="K1" s="7" t="s">
        <v>19</v>
      </c>
      <c r="L1" s="7" t="s">
        <v>7</v>
      </c>
      <c r="M1" s="7" t="s">
        <v>6</v>
      </c>
      <c r="N1" s="7" t="s">
        <v>5</v>
      </c>
      <c r="O1" s="7" t="s">
        <v>9</v>
      </c>
      <c r="P1" s="7" t="s">
        <v>10</v>
      </c>
      <c r="Q1" s="7" t="s">
        <v>11</v>
      </c>
      <c r="R1" s="7" t="s">
        <v>14</v>
      </c>
      <c r="S1" s="7" t="s">
        <v>15</v>
      </c>
      <c r="T1" s="7" t="s">
        <v>12</v>
      </c>
      <c r="U1" s="7" t="s">
        <v>13</v>
      </c>
      <c r="V1" s="7" t="s">
        <v>8</v>
      </c>
      <c r="W1" s="7" t="s">
        <v>20</v>
      </c>
      <c r="X1" s="7" t="s">
        <v>7</v>
      </c>
      <c r="Y1" s="7" t="s">
        <v>6</v>
      </c>
      <c r="Z1" s="7" t="s">
        <v>5</v>
      </c>
      <c r="AA1" s="7" t="s">
        <v>9</v>
      </c>
      <c r="AB1" s="7" t="s">
        <v>10</v>
      </c>
      <c r="AC1" s="7" t="s">
        <v>11</v>
      </c>
      <c r="AD1" s="7" t="s">
        <v>14</v>
      </c>
      <c r="AE1" s="7" t="s">
        <v>15</v>
      </c>
      <c r="AF1" s="7" t="s">
        <v>12</v>
      </c>
      <c r="AG1" s="7" t="s">
        <v>13</v>
      </c>
      <c r="AH1" s="7" t="s">
        <v>8</v>
      </c>
      <c r="AI1" s="7" t="s">
        <v>20</v>
      </c>
      <c r="AJ1" s="7" t="s">
        <v>7</v>
      </c>
      <c r="AK1" s="7" t="s">
        <v>6</v>
      </c>
      <c r="AL1" s="7" t="s">
        <v>5</v>
      </c>
      <c r="AM1" s="6" t="s">
        <v>4</v>
      </c>
    </row>
    <row r="2" spans="2:39" x14ac:dyDescent="0.15">
      <c r="B2" s="4" t="s">
        <v>3</v>
      </c>
      <c r="C2" s="4">
        <f>C9</f>
        <v>130</v>
      </c>
      <c r="D2" s="4">
        <f t="shared" ref="D2:N2" si="0">D9</f>
        <v>129</v>
      </c>
      <c r="E2" s="4">
        <f t="shared" si="0"/>
        <v>133</v>
      </c>
      <c r="F2" s="4">
        <f t="shared" si="0"/>
        <v>127</v>
      </c>
      <c r="G2" s="4">
        <f t="shared" si="0"/>
        <v>134</v>
      </c>
      <c r="H2" s="4">
        <f t="shared" si="0"/>
        <v>136</v>
      </c>
      <c r="I2" s="4">
        <f t="shared" si="0"/>
        <v>142</v>
      </c>
      <c r="J2" s="4">
        <f t="shared" si="0"/>
        <v>123</v>
      </c>
      <c r="K2" s="4">
        <f t="shared" si="0"/>
        <v>143</v>
      </c>
      <c r="L2" s="4">
        <f t="shared" si="0"/>
        <v>135</v>
      </c>
      <c r="M2" s="4">
        <f t="shared" si="0"/>
        <v>136</v>
      </c>
      <c r="N2" s="4">
        <f t="shared" si="0"/>
        <v>141</v>
      </c>
      <c r="O2" s="4">
        <f>C16</f>
        <v>125</v>
      </c>
      <c r="P2" s="4">
        <f t="shared" ref="P2:Z3" si="1">D16</f>
        <v>118</v>
      </c>
      <c r="Q2" s="4">
        <f t="shared" si="1"/>
        <v>162</v>
      </c>
      <c r="R2" s="4">
        <f t="shared" si="1"/>
        <v>155</v>
      </c>
      <c r="S2" s="4">
        <f t="shared" si="1"/>
        <v>195</v>
      </c>
      <c r="T2" s="4">
        <f t="shared" si="1"/>
        <v>176</v>
      </c>
      <c r="U2" s="4">
        <f t="shared" si="1"/>
        <v>145</v>
      </c>
      <c r="V2" s="4">
        <f t="shared" si="1"/>
        <v>131</v>
      </c>
      <c r="W2" s="4">
        <f t="shared" si="1"/>
        <v>175</v>
      </c>
      <c r="X2" s="4">
        <f t="shared" si="1"/>
        <v>204</v>
      </c>
      <c r="Y2" s="4">
        <f t="shared" si="1"/>
        <v>182</v>
      </c>
      <c r="Z2" s="4">
        <f t="shared" si="1"/>
        <v>216</v>
      </c>
      <c r="AA2" s="4">
        <f>C24</f>
        <v>189</v>
      </c>
      <c r="AB2" s="4">
        <f t="shared" ref="AB2:AL3" si="2">D24</f>
        <v>206</v>
      </c>
      <c r="AC2" s="4">
        <f t="shared" si="2"/>
        <v>0</v>
      </c>
      <c r="AD2" s="4">
        <f t="shared" si="2"/>
        <v>0</v>
      </c>
      <c r="AE2" s="4">
        <f t="shared" si="2"/>
        <v>0</v>
      </c>
      <c r="AF2" s="4">
        <f t="shared" si="2"/>
        <v>0</v>
      </c>
      <c r="AG2" s="4">
        <f t="shared" si="2"/>
        <v>0</v>
      </c>
      <c r="AH2" s="4">
        <f t="shared" si="2"/>
        <v>0</v>
      </c>
      <c r="AI2" s="4">
        <f t="shared" si="2"/>
        <v>0</v>
      </c>
      <c r="AJ2" s="4">
        <f t="shared" si="2"/>
        <v>0</v>
      </c>
      <c r="AK2" s="4">
        <f t="shared" si="2"/>
        <v>0</v>
      </c>
      <c r="AL2" s="4">
        <f t="shared" si="2"/>
        <v>0</v>
      </c>
      <c r="AM2" s="12">
        <f>SUM(C2:AL2)</f>
        <v>3988</v>
      </c>
    </row>
    <row r="3" spans="2:39" x14ac:dyDescent="0.15">
      <c r="B3" s="4" t="s">
        <v>2</v>
      </c>
      <c r="C3" s="4">
        <f t="shared" ref="C3:N5" si="3">C10</f>
        <v>61</v>
      </c>
      <c r="D3" s="4">
        <f t="shared" si="3"/>
        <v>31</v>
      </c>
      <c r="E3" s="4">
        <f t="shared" si="3"/>
        <v>18</v>
      </c>
      <c r="F3" s="4">
        <f t="shared" si="3"/>
        <v>12</v>
      </c>
      <c r="G3" s="4">
        <f t="shared" si="3"/>
        <v>16</v>
      </c>
      <c r="H3" s="4">
        <f t="shared" si="3"/>
        <v>12</v>
      </c>
      <c r="I3" s="4">
        <f t="shared" si="3"/>
        <v>11</v>
      </c>
      <c r="J3" s="4">
        <f t="shared" si="3"/>
        <v>9</v>
      </c>
      <c r="K3" s="4">
        <f t="shared" si="3"/>
        <v>12</v>
      </c>
      <c r="L3" s="4">
        <f t="shared" si="3"/>
        <v>12</v>
      </c>
      <c r="M3" s="4">
        <f t="shared" si="3"/>
        <v>13</v>
      </c>
      <c r="N3" s="4">
        <f t="shared" si="3"/>
        <v>14</v>
      </c>
      <c r="O3" s="4">
        <f t="shared" ref="O3" si="4">C17</f>
        <v>8</v>
      </c>
      <c r="P3" s="4">
        <f t="shared" si="1"/>
        <v>8</v>
      </c>
      <c r="Q3" s="4">
        <f t="shared" si="1"/>
        <v>25</v>
      </c>
      <c r="R3" s="4">
        <f t="shared" si="1"/>
        <v>24</v>
      </c>
      <c r="S3" s="4">
        <f t="shared" si="1"/>
        <v>17</v>
      </c>
      <c r="T3" s="4">
        <f t="shared" si="1"/>
        <v>27</v>
      </c>
      <c r="U3" s="4">
        <f t="shared" si="1"/>
        <v>14</v>
      </c>
      <c r="V3" s="4">
        <f t="shared" si="1"/>
        <v>14</v>
      </c>
      <c r="W3" s="4">
        <f t="shared" si="1"/>
        <v>40</v>
      </c>
      <c r="X3" s="4">
        <f t="shared" si="1"/>
        <v>21</v>
      </c>
      <c r="Y3" s="4">
        <f t="shared" si="1"/>
        <v>18</v>
      </c>
      <c r="Z3" s="4">
        <f t="shared" si="1"/>
        <v>18</v>
      </c>
      <c r="AA3" s="4">
        <f>C25</f>
        <v>21</v>
      </c>
      <c r="AB3" s="4">
        <f t="shared" si="2"/>
        <v>17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  <c r="AG3" s="4">
        <f t="shared" si="2"/>
        <v>0</v>
      </c>
      <c r="AH3" s="4">
        <f t="shared" si="2"/>
        <v>0</v>
      </c>
      <c r="AI3" s="4">
        <f t="shared" si="2"/>
        <v>0</v>
      </c>
      <c r="AJ3" s="4">
        <f t="shared" si="2"/>
        <v>0</v>
      </c>
      <c r="AK3" s="4">
        <f t="shared" si="2"/>
        <v>0</v>
      </c>
      <c r="AL3" s="4">
        <f t="shared" si="2"/>
        <v>0</v>
      </c>
      <c r="AM3" s="12">
        <f t="shared" ref="AM3:AM5" si="5">SUM(C3:AL3)</f>
        <v>493</v>
      </c>
    </row>
    <row r="4" spans="2:39" x14ac:dyDescent="0.15">
      <c r="B4" s="4" t="s">
        <v>1</v>
      </c>
      <c r="C4" s="4">
        <f t="shared" si="3"/>
        <v>32</v>
      </c>
      <c r="D4" s="4">
        <f t="shared" si="3"/>
        <v>9</v>
      </c>
      <c r="E4" s="4">
        <f t="shared" si="3"/>
        <v>5</v>
      </c>
      <c r="F4" s="4">
        <f t="shared" si="3"/>
        <v>4</v>
      </c>
      <c r="G4" s="4">
        <f t="shared" si="3"/>
        <v>5</v>
      </c>
      <c r="H4" s="4">
        <f t="shared" si="3"/>
        <v>6</v>
      </c>
      <c r="I4" s="4">
        <f t="shared" si="3"/>
        <v>2</v>
      </c>
      <c r="J4" s="4">
        <f t="shared" si="3"/>
        <v>1</v>
      </c>
      <c r="K4" s="4">
        <f t="shared" si="3"/>
        <v>3</v>
      </c>
      <c r="L4" s="4">
        <f t="shared" si="3"/>
        <v>3</v>
      </c>
      <c r="M4" s="4">
        <f t="shared" si="3"/>
        <v>9</v>
      </c>
      <c r="N4" s="4">
        <f t="shared" si="3"/>
        <v>3</v>
      </c>
      <c r="O4" s="4">
        <f t="shared" ref="O4:Z5" si="6">C19</f>
        <v>5</v>
      </c>
      <c r="P4" s="4">
        <f t="shared" si="6"/>
        <v>5</v>
      </c>
      <c r="Q4" s="4">
        <f t="shared" si="6"/>
        <v>5</v>
      </c>
      <c r="R4" s="4">
        <f t="shared" si="6"/>
        <v>5</v>
      </c>
      <c r="S4" s="4">
        <f t="shared" si="6"/>
        <v>8</v>
      </c>
      <c r="T4" s="4">
        <f t="shared" si="6"/>
        <v>4</v>
      </c>
      <c r="U4" s="4">
        <f t="shared" si="6"/>
        <v>5</v>
      </c>
      <c r="V4" s="4">
        <f t="shared" si="6"/>
        <v>1</v>
      </c>
      <c r="W4" s="4">
        <f t="shared" si="6"/>
        <v>4</v>
      </c>
      <c r="X4" s="4">
        <f t="shared" si="6"/>
        <v>5</v>
      </c>
      <c r="Y4" s="4">
        <f t="shared" si="6"/>
        <v>4</v>
      </c>
      <c r="Z4" s="4">
        <f t="shared" si="6"/>
        <v>4</v>
      </c>
      <c r="AA4" s="4">
        <f>C27</f>
        <v>3</v>
      </c>
      <c r="AB4" s="4">
        <f t="shared" ref="AB4:AL5" si="7">D27</f>
        <v>4</v>
      </c>
      <c r="AC4" s="4">
        <f t="shared" si="7"/>
        <v>0</v>
      </c>
      <c r="AD4" s="4">
        <f t="shared" si="7"/>
        <v>0</v>
      </c>
      <c r="AE4" s="4">
        <f t="shared" si="7"/>
        <v>0</v>
      </c>
      <c r="AF4" s="4">
        <f t="shared" si="7"/>
        <v>0</v>
      </c>
      <c r="AG4" s="4">
        <f t="shared" si="7"/>
        <v>0</v>
      </c>
      <c r="AH4" s="4">
        <f t="shared" si="7"/>
        <v>0</v>
      </c>
      <c r="AI4" s="4">
        <f t="shared" si="7"/>
        <v>0</v>
      </c>
      <c r="AJ4" s="4">
        <f t="shared" si="7"/>
        <v>0</v>
      </c>
      <c r="AK4" s="4">
        <f t="shared" si="7"/>
        <v>0</v>
      </c>
      <c r="AL4" s="4">
        <f t="shared" si="7"/>
        <v>0</v>
      </c>
      <c r="AM4" s="12">
        <f t="shared" si="5"/>
        <v>144</v>
      </c>
    </row>
    <row r="5" spans="2:39" x14ac:dyDescent="0.15">
      <c r="B5" s="4" t="s">
        <v>0</v>
      </c>
      <c r="C5" s="4">
        <f t="shared" si="3"/>
        <v>279</v>
      </c>
      <c r="D5" s="4">
        <f t="shared" si="3"/>
        <v>62</v>
      </c>
      <c r="E5" s="4">
        <f t="shared" si="3"/>
        <v>35</v>
      </c>
      <c r="F5" s="4">
        <f t="shared" si="3"/>
        <v>25</v>
      </c>
      <c r="G5" s="4">
        <f t="shared" si="3"/>
        <v>23</v>
      </c>
      <c r="H5" s="4">
        <f t="shared" si="3"/>
        <v>19</v>
      </c>
      <c r="I5" s="4">
        <f t="shared" si="3"/>
        <v>35</v>
      </c>
      <c r="J5" s="4">
        <f t="shared" si="3"/>
        <v>17</v>
      </c>
      <c r="K5" s="4">
        <f t="shared" si="3"/>
        <v>22</v>
      </c>
      <c r="L5" s="4">
        <f t="shared" si="3"/>
        <v>10</v>
      </c>
      <c r="M5" s="4">
        <f t="shared" si="3"/>
        <v>21</v>
      </c>
      <c r="N5" s="4">
        <f t="shared" si="3"/>
        <v>22</v>
      </c>
      <c r="O5" s="4">
        <f t="shared" si="6"/>
        <v>21</v>
      </c>
      <c r="P5" s="4">
        <f t="shared" si="6"/>
        <v>24</v>
      </c>
      <c r="Q5" s="4">
        <f t="shared" si="6"/>
        <v>18</v>
      </c>
      <c r="R5" s="4">
        <f t="shared" si="6"/>
        <v>70</v>
      </c>
      <c r="S5" s="4">
        <f t="shared" si="6"/>
        <v>35</v>
      </c>
      <c r="T5" s="4">
        <f t="shared" si="6"/>
        <v>38</v>
      </c>
      <c r="U5" s="4">
        <f t="shared" si="6"/>
        <v>27</v>
      </c>
      <c r="V5" s="4">
        <f t="shared" si="6"/>
        <v>19</v>
      </c>
      <c r="W5" s="4">
        <f t="shared" si="6"/>
        <v>24</v>
      </c>
      <c r="X5" s="4">
        <f t="shared" si="6"/>
        <v>32</v>
      </c>
      <c r="Y5" s="4">
        <f t="shared" si="6"/>
        <v>28</v>
      </c>
      <c r="Z5" s="4">
        <f t="shared" si="6"/>
        <v>29</v>
      </c>
      <c r="AA5" s="4">
        <f>C28</f>
        <v>42</v>
      </c>
      <c r="AB5" s="4">
        <f t="shared" si="7"/>
        <v>25</v>
      </c>
      <c r="AC5" s="4">
        <f t="shared" si="7"/>
        <v>0</v>
      </c>
      <c r="AD5" s="4">
        <f t="shared" si="7"/>
        <v>0</v>
      </c>
      <c r="AE5" s="4">
        <f t="shared" si="7"/>
        <v>0</v>
      </c>
      <c r="AF5" s="4">
        <f t="shared" si="7"/>
        <v>0</v>
      </c>
      <c r="AG5" s="4">
        <f t="shared" si="7"/>
        <v>0</v>
      </c>
      <c r="AH5" s="4">
        <f t="shared" si="7"/>
        <v>0</v>
      </c>
      <c r="AI5" s="4">
        <f t="shared" si="7"/>
        <v>0</v>
      </c>
      <c r="AJ5" s="4">
        <f t="shared" si="7"/>
        <v>0</v>
      </c>
      <c r="AK5" s="4">
        <f t="shared" si="7"/>
        <v>0</v>
      </c>
      <c r="AL5" s="4">
        <f t="shared" si="7"/>
        <v>0</v>
      </c>
      <c r="AM5" s="12">
        <f t="shared" si="5"/>
        <v>1002</v>
      </c>
    </row>
    <row r="6" spans="2:39" s="8" customFormat="1" ht="12" customHeight="1" x14ac:dyDescent="0.15">
      <c r="E6" s="9"/>
    </row>
    <row r="7" spans="2:39" x14ac:dyDescent="0.15">
      <c r="B7" s="1" t="s">
        <v>17</v>
      </c>
    </row>
    <row r="8" spans="2:39" x14ac:dyDescent="0.15">
      <c r="B8" s="7"/>
      <c r="C8" s="7" t="s">
        <v>9</v>
      </c>
      <c r="D8" s="7" t="s">
        <v>10</v>
      </c>
      <c r="E8" s="7" t="s">
        <v>11</v>
      </c>
      <c r="F8" s="7" t="s">
        <v>14</v>
      </c>
      <c r="G8" s="7" t="s">
        <v>15</v>
      </c>
      <c r="H8" s="7" t="s">
        <v>12</v>
      </c>
      <c r="I8" s="7" t="s">
        <v>13</v>
      </c>
      <c r="J8" s="7" t="s">
        <v>8</v>
      </c>
      <c r="K8" s="7" t="s">
        <v>16</v>
      </c>
      <c r="L8" s="7" t="s">
        <v>7</v>
      </c>
      <c r="M8" s="7" t="s">
        <v>6</v>
      </c>
      <c r="N8" s="7" t="s">
        <v>5</v>
      </c>
      <c r="O8" s="6" t="s">
        <v>4</v>
      </c>
      <c r="AA8" s="5"/>
    </row>
    <row r="9" spans="2:39" x14ac:dyDescent="0.15">
      <c r="B9" s="4" t="s">
        <v>3</v>
      </c>
      <c r="C9" s="4">
        <v>130</v>
      </c>
      <c r="D9" s="4">
        <v>129</v>
      </c>
      <c r="E9" s="4">
        <v>133</v>
      </c>
      <c r="F9" s="4">
        <v>127</v>
      </c>
      <c r="G9" s="4">
        <v>134</v>
      </c>
      <c r="H9" s="4">
        <v>136</v>
      </c>
      <c r="I9" s="4">
        <v>142</v>
      </c>
      <c r="J9" s="4">
        <v>123</v>
      </c>
      <c r="K9" s="4">
        <v>143</v>
      </c>
      <c r="L9" s="4">
        <v>135</v>
      </c>
      <c r="M9" s="3">
        <v>136</v>
      </c>
      <c r="N9" s="11">
        <v>141</v>
      </c>
      <c r="O9" s="2">
        <f>SUM(C9:N9)</f>
        <v>1609</v>
      </c>
    </row>
    <row r="10" spans="2:39" x14ac:dyDescent="0.15">
      <c r="B10" s="4" t="s">
        <v>2</v>
      </c>
      <c r="C10" s="4">
        <v>61</v>
      </c>
      <c r="D10" s="4">
        <v>31</v>
      </c>
      <c r="E10" s="4">
        <v>18</v>
      </c>
      <c r="F10" s="4">
        <v>12</v>
      </c>
      <c r="G10" s="4">
        <v>16</v>
      </c>
      <c r="H10" s="4">
        <v>12</v>
      </c>
      <c r="I10" s="4">
        <v>11</v>
      </c>
      <c r="J10" s="4">
        <v>9</v>
      </c>
      <c r="K10" s="4">
        <v>12</v>
      </c>
      <c r="L10" s="4">
        <v>12</v>
      </c>
      <c r="M10" s="3">
        <v>13</v>
      </c>
      <c r="N10" s="11">
        <v>14</v>
      </c>
      <c r="O10" s="2">
        <f>SUM(C10:N10)</f>
        <v>221</v>
      </c>
    </row>
    <row r="11" spans="2:39" x14ac:dyDescent="0.15">
      <c r="B11" s="4" t="s">
        <v>1</v>
      </c>
      <c r="C11" s="4">
        <v>32</v>
      </c>
      <c r="D11" s="4">
        <v>9</v>
      </c>
      <c r="E11" s="4">
        <v>5</v>
      </c>
      <c r="F11" s="4">
        <v>4</v>
      </c>
      <c r="G11" s="4">
        <v>5</v>
      </c>
      <c r="H11" s="4">
        <v>6</v>
      </c>
      <c r="I11" s="4">
        <v>2</v>
      </c>
      <c r="J11" s="4">
        <v>1</v>
      </c>
      <c r="K11" s="4">
        <v>3</v>
      </c>
      <c r="L11" s="4">
        <v>3</v>
      </c>
      <c r="M11" s="3">
        <v>9</v>
      </c>
      <c r="N11" s="3">
        <v>3</v>
      </c>
      <c r="O11" s="2">
        <f>SUM(C11:N11)</f>
        <v>82</v>
      </c>
    </row>
    <row r="12" spans="2:39" x14ac:dyDescent="0.15">
      <c r="B12" s="4" t="s">
        <v>0</v>
      </c>
      <c r="C12" s="4">
        <v>279</v>
      </c>
      <c r="D12" s="4">
        <v>62</v>
      </c>
      <c r="E12" s="4">
        <v>35</v>
      </c>
      <c r="F12" s="4">
        <v>25</v>
      </c>
      <c r="G12" s="4">
        <v>23</v>
      </c>
      <c r="H12" s="4">
        <v>19</v>
      </c>
      <c r="I12" s="4">
        <v>35</v>
      </c>
      <c r="J12" s="4">
        <v>17</v>
      </c>
      <c r="K12" s="4">
        <v>22</v>
      </c>
      <c r="L12" s="4">
        <v>10</v>
      </c>
      <c r="M12" s="3">
        <v>21</v>
      </c>
      <c r="N12" s="3">
        <v>22</v>
      </c>
      <c r="O12" s="2">
        <f>SUM(C12:N12)</f>
        <v>570</v>
      </c>
    </row>
    <row r="14" spans="2:39" x14ac:dyDescent="0.15">
      <c r="B14" s="1" t="s">
        <v>18</v>
      </c>
    </row>
    <row r="15" spans="2:39" x14ac:dyDescent="0.15">
      <c r="B15" s="7"/>
      <c r="C15" s="7" t="s">
        <v>9</v>
      </c>
      <c r="D15" s="7" t="s">
        <v>10</v>
      </c>
      <c r="E15" s="7" t="s">
        <v>11</v>
      </c>
      <c r="F15" s="7" t="s">
        <v>14</v>
      </c>
      <c r="G15" s="7" t="s">
        <v>15</v>
      </c>
      <c r="H15" s="7" t="s">
        <v>12</v>
      </c>
      <c r="I15" s="7" t="s">
        <v>13</v>
      </c>
      <c r="J15" s="7" t="s">
        <v>8</v>
      </c>
      <c r="K15" s="7" t="s">
        <v>16</v>
      </c>
      <c r="L15" s="7" t="s">
        <v>7</v>
      </c>
      <c r="M15" s="7" t="s">
        <v>6</v>
      </c>
      <c r="N15" s="7" t="s">
        <v>5</v>
      </c>
      <c r="O15" s="6" t="s">
        <v>4</v>
      </c>
      <c r="AA15" s="5"/>
    </row>
    <row r="16" spans="2:39" x14ac:dyDescent="0.15">
      <c r="B16" s="4" t="s">
        <v>3</v>
      </c>
      <c r="C16" s="4">
        <v>125</v>
      </c>
      <c r="D16" s="4">
        <v>118</v>
      </c>
      <c r="E16" s="4">
        <v>162</v>
      </c>
      <c r="F16" s="4">
        <v>155</v>
      </c>
      <c r="G16" s="4">
        <v>195</v>
      </c>
      <c r="H16" s="4">
        <v>176</v>
      </c>
      <c r="I16" s="4">
        <v>145</v>
      </c>
      <c r="J16" s="4">
        <v>131</v>
      </c>
      <c r="K16" s="4">
        <v>175</v>
      </c>
      <c r="L16" s="4">
        <v>204</v>
      </c>
      <c r="M16" s="3">
        <v>182</v>
      </c>
      <c r="N16" s="3">
        <v>216</v>
      </c>
      <c r="O16" s="12">
        <f>SUM(C16:N16)+O9</f>
        <v>3593</v>
      </c>
      <c r="AA16" s="15"/>
    </row>
    <row r="17" spans="2:27" x14ac:dyDescent="0.15">
      <c r="B17" s="4" t="s">
        <v>2</v>
      </c>
      <c r="C17" s="4">
        <v>8</v>
      </c>
      <c r="D17" s="4">
        <v>8</v>
      </c>
      <c r="E17" s="4">
        <v>25</v>
      </c>
      <c r="F17" s="4">
        <v>24</v>
      </c>
      <c r="G17" s="4">
        <v>17</v>
      </c>
      <c r="H17" s="4">
        <v>27</v>
      </c>
      <c r="I17" s="4">
        <v>14</v>
      </c>
      <c r="J17" s="4">
        <v>14</v>
      </c>
      <c r="K17" s="4">
        <v>40</v>
      </c>
      <c r="L17" s="4">
        <v>21</v>
      </c>
      <c r="M17" s="3">
        <v>18</v>
      </c>
      <c r="N17" s="3">
        <v>18</v>
      </c>
      <c r="O17" s="12">
        <f t="shared" ref="O17" si="8">SUM(C17:N17)+O10</f>
        <v>455</v>
      </c>
      <c r="AA17" s="15"/>
    </row>
    <row r="18" spans="2:27" x14ac:dyDescent="0.15">
      <c r="B18" s="4" t="s">
        <v>21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3">
        <v>18</v>
      </c>
      <c r="N18" s="3">
        <v>17</v>
      </c>
      <c r="O18" s="12">
        <f>SUM(C18:N18)</f>
        <v>35</v>
      </c>
      <c r="AA18" s="15"/>
    </row>
    <row r="19" spans="2:27" x14ac:dyDescent="0.15">
      <c r="B19" s="4" t="s">
        <v>1</v>
      </c>
      <c r="C19" s="4">
        <v>5</v>
      </c>
      <c r="D19" s="4">
        <v>5</v>
      </c>
      <c r="E19" s="4">
        <v>5</v>
      </c>
      <c r="F19" s="4">
        <v>5</v>
      </c>
      <c r="G19" s="4">
        <v>8</v>
      </c>
      <c r="H19" s="4">
        <v>4</v>
      </c>
      <c r="I19" s="4">
        <v>5</v>
      </c>
      <c r="J19" s="4">
        <v>1</v>
      </c>
      <c r="K19" s="4">
        <v>4</v>
      </c>
      <c r="L19" s="4">
        <v>5</v>
      </c>
      <c r="M19" s="3">
        <v>4</v>
      </c>
      <c r="N19" s="3">
        <v>4</v>
      </c>
      <c r="O19" s="12">
        <f>SUM(C19:N19)+O11</f>
        <v>137</v>
      </c>
      <c r="AA19" s="15"/>
    </row>
    <row r="20" spans="2:27" x14ac:dyDescent="0.15">
      <c r="B20" s="4" t="s">
        <v>0</v>
      </c>
      <c r="C20" s="4">
        <v>21</v>
      </c>
      <c r="D20" s="4">
        <v>24</v>
      </c>
      <c r="E20" s="4">
        <v>18</v>
      </c>
      <c r="F20" s="4">
        <v>70</v>
      </c>
      <c r="G20" s="4">
        <v>35</v>
      </c>
      <c r="H20" s="4">
        <v>38</v>
      </c>
      <c r="I20" s="4">
        <v>27</v>
      </c>
      <c r="J20" s="4">
        <v>19</v>
      </c>
      <c r="K20" s="4">
        <v>24</v>
      </c>
      <c r="L20" s="4">
        <v>32</v>
      </c>
      <c r="M20" s="3">
        <v>28</v>
      </c>
      <c r="N20" s="3">
        <v>29</v>
      </c>
      <c r="O20" s="12">
        <f>SUM(C20:N20)+O12</f>
        <v>935</v>
      </c>
      <c r="AA20" s="15"/>
    </row>
    <row r="21" spans="2:27" x14ac:dyDescent="0.15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  <c r="AA21" s="15"/>
    </row>
    <row r="22" spans="2:27" x14ac:dyDescent="0.15">
      <c r="B22" s="1" t="s">
        <v>22</v>
      </c>
      <c r="O22" s="13"/>
      <c r="AA22" s="15"/>
    </row>
    <row r="23" spans="2:27" x14ac:dyDescent="0.15">
      <c r="B23" s="7"/>
      <c r="C23" s="7" t="s">
        <v>9</v>
      </c>
      <c r="D23" s="7" t="s">
        <v>10</v>
      </c>
      <c r="E23" s="7" t="s">
        <v>11</v>
      </c>
      <c r="F23" s="7" t="s">
        <v>14</v>
      </c>
      <c r="G23" s="7" t="s">
        <v>15</v>
      </c>
      <c r="H23" s="7" t="s">
        <v>12</v>
      </c>
      <c r="I23" s="7" t="s">
        <v>13</v>
      </c>
      <c r="J23" s="7" t="s">
        <v>8</v>
      </c>
      <c r="K23" s="7" t="s">
        <v>16</v>
      </c>
      <c r="L23" s="7" t="s">
        <v>7</v>
      </c>
      <c r="M23" s="7" t="s">
        <v>6</v>
      </c>
      <c r="N23" s="7" t="s">
        <v>5</v>
      </c>
      <c r="O23" s="14" t="s">
        <v>4</v>
      </c>
      <c r="AA23" s="16"/>
    </row>
    <row r="24" spans="2:27" x14ac:dyDescent="0.15">
      <c r="B24" s="4" t="s">
        <v>3</v>
      </c>
      <c r="C24" s="4">
        <v>189</v>
      </c>
      <c r="D24" s="4">
        <v>206</v>
      </c>
      <c r="E24" s="4"/>
      <c r="F24" s="4"/>
      <c r="G24" s="4"/>
      <c r="H24" s="4"/>
      <c r="I24" s="4"/>
      <c r="J24" s="4"/>
      <c r="K24" s="4"/>
      <c r="L24" s="4"/>
      <c r="M24" s="3"/>
      <c r="N24" s="3"/>
      <c r="O24" s="12">
        <f>SUM(C24:N24)+O16</f>
        <v>3988</v>
      </c>
      <c r="AA24" s="15"/>
    </row>
    <row r="25" spans="2:27" x14ac:dyDescent="0.15">
      <c r="B25" s="4" t="s">
        <v>2</v>
      </c>
      <c r="C25" s="4">
        <v>21</v>
      </c>
      <c r="D25" s="4">
        <v>17</v>
      </c>
      <c r="E25" s="4"/>
      <c r="F25" s="4"/>
      <c r="G25" s="4"/>
      <c r="H25" s="4"/>
      <c r="I25" s="4"/>
      <c r="J25" s="4"/>
      <c r="K25" s="4"/>
      <c r="L25" s="4"/>
      <c r="M25" s="3"/>
      <c r="N25" s="3"/>
      <c r="O25" s="12">
        <f>SUM(C25:N25)+O17</f>
        <v>493</v>
      </c>
      <c r="AA25" s="15"/>
    </row>
    <row r="26" spans="2:27" x14ac:dyDescent="0.15">
      <c r="B26" s="4" t="s">
        <v>21</v>
      </c>
      <c r="C26" s="4">
        <v>15</v>
      </c>
      <c r="D26" s="4">
        <v>16</v>
      </c>
      <c r="E26" s="4"/>
      <c r="F26" s="4"/>
      <c r="G26" s="4"/>
      <c r="H26" s="4"/>
      <c r="I26" s="4"/>
      <c r="J26" s="4"/>
      <c r="K26" s="4"/>
      <c r="L26" s="4"/>
      <c r="M26" s="3"/>
      <c r="N26" s="3"/>
      <c r="O26" s="12">
        <f t="shared" ref="O26:O28" si="9">SUM(C26:N26)+O18</f>
        <v>66</v>
      </c>
      <c r="AA26" s="15"/>
    </row>
    <row r="27" spans="2:27" x14ac:dyDescent="0.15">
      <c r="B27" s="4" t="s">
        <v>1</v>
      </c>
      <c r="C27" s="4">
        <v>3</v>
      </c>
      <c r="D27" s="4">
        <v>4</v>
      </c>
      <c r="E27" s="4"/>
      <c r="F27" s="4"/>
      <c r="G27" s="4"/>
      <c r="H27" s="4"/>
      <c r="I27" s="4"/>
      <c r="J27" s="4"/>
      <c r="K27" s="4"/>
      <c r="L27" s="4"/>
      <c r="M27" s="3"/>
      <c r="N27" s="3"/>
      <c r="O27" s="12">
        <f t="shared" si="9"/>
        <v>144</v>
      </c>
      <c r="AA27" s="15"/>
    </row>
    <row r="28" spans="2:27" x14ac:dyDescent="0.15">
      <c r="B28" s="4" t="s">
        <v>0</v>
      </c>
      <c r="C28" s="4">
        <v>42</v>
      </c>
      <c r="D28" s="4">
        <v>25</v>
      </c>
      <c r="E28" s="4"/>
      <c r="F28" s="4"/>
      <c r="G28" s="4"/>
      <c r="H28" s="4"/>
      <c r="I28" s="4"/>
      <c r="J28" s="4"/>
      <c r="K28" s="4"/>
      <c r="L28" s="4"/>
      <c r="M28" s="3"/>
      <c r="N28" s="3"/>
      <c r="O28" s="12">
        <f t="shared" si="9"/>
        <v>1002</v>
      </c>
      <c r="AA28" s="15"/>
    </row>
    <row r="29" spans="2:27" x14ac:dyDescent="0.15">
      <c r="D29" s="10" t="s">
        <v>23</v>
      </c>
      <c r="E29" s="10"/>
      <c r="F29" s="10"/>
      <c r="G29" s="10"/>
      <c r="H29" s="10"/>
      <c r="I29" s="10"/>
      <c r="J29" s="10"/>
      <c r="K29" s="10"/>
      <c r="L29" s="10"/>
      <c r="M29" s="10"/>
    </row>
    <row r="30" spans="2:27" ht="4.5" customHeight="1" x14ac:dyDescent="0.15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3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豊月堂 末広店</vt:lpstr>
      <vt:lpstr>豊月堂 末広店 (2)</vt:lpstr>
      <vt:lpstr>'豊月堂 末広店'!Print_Area</vt:lpstr>
      <vt:lpstr>'豊月堂 末広店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2025-10-27T04:12:02Z</cp:lastPrinted>
  <dcterms:created xsi:type="dcterms:W3CDTF">2018-10-31T01:38:43Z</dcterms:created>
  <dcterms:modified xsi:type="dcterms:W3CDTF">2026-04-27T01:41:23Z</dcterms:modified>
</cp:coreProperties>
</file>