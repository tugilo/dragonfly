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キャセロール" sheetId="1" r:id="rId1"/>
    <sheet name="キャセロール (2)" sheetId="2" r:id="rId2"/>
  </sheets>
  <definedNames>
    <definedName name="_xlnm.Print_Area" localSheetId="0">キャセロール!$A$51:$P$68</definedName>
    <definedName name="_xlnm.Print_Area" localSheetId="1">'キャセロール (2)'!$A$35:$P$87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O66" i="1"/>
  <c r="O65" i="1"/>
  <c r="O64" i="1"/>
  <c r="O63" i="1"/>
  <c r="O62" i="1"/>
  <c r="O58" i="1" l="1"/>
  <c r="O54" i="1"/>
  <c r="O55" i="1"/>
  <c r="O56" i="1"/>
  <c r="O57" i="1"/>
  <c r="O53" i="1"/>
  <c r="O45" i="1"/>
  <c r="O46" i="1"/>
  <c r="O47" i="1"/>
  <c r="O44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BW4" i="2" s="1"/>
  <c r="R4" i="2"/>
  <c r="Q4" i="2"/>
  <c r="P4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BW3" i="2" s="1"/>
  <c r="R3" i="2"/>
  <c r="Q3" i="2"/>
  <c r="P3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BW2" i="2" s="1"/>
  <c r="R2" i="2"/>
  <c r="Q2" i="2"/>
  <c r="P2" i="2"/>
  <c r="O44" i="2" l="1"/>
  <c r="O45" i="2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O12" i="1"/>
  <c r="O19" i="1" s="1"/>
  <c r="O26" i="1" s="1"/>
  <c r="O33" i="1" s="1"/>
  <c r="O40" i="1" s="1"/>
  <c r="O48" i="1" s="1"/>
  <c r="O11" i="1"/>
  <c r="O18" i="1" s="1"/>
  <c r="O25" i="1" s="1"/>
  <c r="O32" i="1" s="1"/>
  <c r="O39" i="1" s="1"/>
  <c r="O10" i="1"/>
  <c r="O17" i="1" s="1"/>
  <c r="O24" i="1" s="1"/>
  <c r="O31" i="1" s="1"/>
  <c r="O38" i="1" s="1"/>
  <c r="O9" i="1"/>
  <c r="O16" i="1" s="1"/>
  <c r="O23" i="1" s="1"/>
  <c r="O30" i="1" s="1"/>
  <c r="O37" i="1" s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BW5" i="1" l="1"/>
  <c r="BW4" i="1"/>
  <c r="BW3" i="1"/>
  <c r="BW2" i="1"/>
</calcChain>
</file>

<file path=xl/sharedStrings.xml><?xml version="1.0" encoding="utf-8"?>
<sst xmlns="http://schemas.openxmlformats.org/spreadsheetml/2006/main" count="414" uniqueCount="37">
  <si>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</si>
  <si>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</si>
  <si>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</si>
  <si>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</si>
  <si>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</si>
  <si>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</si>
  <si>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</si>
  <si>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</si>
  <si>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</si>
  <si>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</si>
  <si>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</si>
  <si>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</si>
  <si>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</si>
  <si>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</si>
  <si>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</si>
  <si>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総合計</t>
    <rPh sb="0" eb="1">
      <t>ソウ</t>
    </rPh>
    <rPh sb="1" eb="3">
      <t>ゴウケイ</t>
    </rPh>
    <phoneticPr fontId="3"/>
  </si>
  <si>
    <t>6月</t>
  </si>
  <si>
    <t>2019/1月</t>
    <phoneticPr fontId="3"/>
  </si>
  <si>
    <t>5月</t>
  </si>
  <si>
    <t>2018/7月</t>
    <phoneticPr fontId="3"/>
  </si>
  <si>
    <t>2018年7月～2019年6月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</si>
  <si>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7月</t>
    <phoneticPr fontId="3"/>
  </si>
  <si>
    <t>2019年7月～2020年6月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</si>
  <si>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2020年7月～2021年6月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</si>
  <si>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2022/1月</t>
    <phoneticPr fontId="3"/>
  </si>
  <si>
    <t>2021/1月</t>
    <phoneticPr fontId="3"/>
  </si>
  <si>
    <t>2020/1月</t>
    <phoneticPr fontId="3"/>
  </si>
  <si>
    <t>2023/1月</t>
    <phoneticPr fontId="3"/>
  </si>
  <si>
    <t>スタンプクーポン</t>
    <phoneticPr fontId="3"/>
  </si>
  <si>
    <t>2021年7月～2022年6月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</si>
  <si>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2022年7月～2023年6月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</si>
  <si>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2023年7月～2024年6月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</si>
  <si>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5/26～6/25</t>
    <phoneticPr fontId="3"/>
  </si>
  <si>
    <t>2024年7月～2025年6月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</si>
  <si>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閲覧数</t>
    <rPh sb="0" eb="3">
      <t>エツランスウ</t>
    </rPh>
    <phoneticPr fontId="3"/>
  </si>
  <si>
    <t>2025年7月～2026年6月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</si>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</sst>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56" fontId="2" fillId="0" borderId="0" xfId="0" applyNumberFormat="1" applyFont="1" applyAlignment="1">
      <alignment horizontal="center" vertical="center" shrinkToFit="1"/>
    </xf>
    <xf numFmtId="5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38" fontId="5" fillId="0" borderId="0" xfId="1" applyFont="1" applyAlignment="1">
      <alignment horizontal="center" vertical="center" shrinkToFit="1"/>
    </xf>
    <xf numFmtId="38" fontId="5" fillId="0" borderId="0" xfId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38" fontId="2" fillId="0" borderId="12" xfId="1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5" fillId="0" borderId="12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'キャセロール (2)'!$B$35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'キャセロール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'キャセロール (2)'!$C$37:$N$37</c:f>
              <c:numCache>
                <c:formatCode>General</c:formatCode>
                <c:ptCount val="12"/>
                <c:pt idx="0">
                  <c:v>30</c:v>
                </c:pt>
                <c:pt idx="1">
                  <c:v>32</c:v>
                </c:pt>
                <c:pt idx="2">
                  <c:v>29</c:v>
                </c:pt>
                <c:pt idx="3">
                  <c:v>48</c:v>
                </c:pt>
                <c:pt idx="4">
                  <c:v>39</c:v>
                </c:pt>
                <c:pt idx="5">
                  <c:v>39</c:v>
                </c:pt>
                <c:pt idx="6">
                  <c:v>41</c:v>
                </c:pt>
                <c:pt idx="7">
                  <c:v>30</c:v>
                </c:pt>
                <c:pt idx="8">
                  <c:v>38</c:v>
                </c:pt>
                <c:pt idx="9">
                  <c:v>30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F8-41D9-B9B4-E32AD5743C80}"/>
            </c:ext>
          </c:extLst>
        </c:ser>
        <c:ser>
          <c:idx val="0"/>
          <c:order val="1"/>
          <c:tx>
            <c:strRef>
              <c:f>'キャセロール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'キャセロール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'キャセロール (2)'!$C$44:$N$44</c:f>
              <c:numCache>
                <c:formatCode>General</c:formatCode>
                <c:ptCount val="12"/>
                <c:pt idx="0">
                  <c:v>31</c:v>
                </c:pt>
                <c:pt idx="1">
                  <c:v>28</c:v>
                </c:pt>
                <c:pt idx="2">
                  <c:v>33</c:v>
                </c:pt>
                <c:pt idx="3">
                  <c:v>38</c:v>
                </c:pt>
                <c:pt idx="4">
                  <c:v>30</c:v>
                </c:pt>
                <c:pt idx="5">
                  <c:v>26</c:v>
                </c:pt>
                <c:pt idx="6">
                  <c:v>28</c:v>
                </c:pt>
                <c:pt idx="7">
                  <c:v>39</c:v>
                </c:pt>
                <c:pt idx="8">
                  <c:v>34</c:v>
                </c:pt>
                <c:pt idx="9">
                  <c:v>18</c:v>
                </c:pt>
                <c:pt idx="10">
                  <c:v>25</c:v>
                </c:pt>
                <c:pt idx="11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F8-41D9-B9B4-E32AD574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59360"/>
        <c:axId val="475659752"/>
        <c:extLst xmlns:c16r2="http://schemas.microsoft.com/office/drawing/2015/06/chart"/>
      </c:barChart>
      <c:catAx>
        <c:axId val="47565936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9752"/>
        <c:crosses val="autoZero"/>
        <c:auto val="1"/>
        <c:lblAlgn val="ctr"/>
        <c:lblOffset val="100"/>
        <c:noMultiLvlLbl val="0"/>
      </c:catAx>
      <c:valAx>
        <c:axId val="4756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19237097371112"/>
          <c:y val="5.5843066689429392E-2"/>
          <c:w val="0.244571523973329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'キャセロール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f>'キャセロール (2)'!$AY$1:$BV$1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2023/1月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f>'キャセロール (2)'!$AY$5:$BV$5</c:f>
              <c:numCache>
                <c:formatCode>General</c:formatCode>
                <c:ptCount val="24"/>
                <c:pt idx="0">
                  <c:v>38</c:v>
                </c:pt>
                <c:pt idx="1">
                  <c:v>27</c:v>
                </c:pt>
                <c:pt idx="2">
                  <c:v>13</c:v>
                </c:pt>
                <c:pt idx="3">
                  <c:v>48</c:v>
                </c:pt>
                <c:pt idx="4">
                  <c:v>31</c:v>
                </c:pt>
                <c:pt idx="5">
                  <c:v>18</c:v>
                </c:pt>
                <c:pt idx="6">
                  <c:v>23</c:v>
                </c:pt>
                <c:pt idx="7">
                  <c:v>27</c:v>
                </c:pt>
                <c:pt idx="8">
                  <c:v>20</c:v>
                </c:pt>
                <c:pt idx="9">
                  <c:v>23</c:v>
                </c:pt>
                <c:pt idx="10">
                  <c:v>18</c:v>
                </c:pt>
                <c:pt idx="11">
                  <c:v>11</c:v>
                </c:pt>
                <c:pt idx="12">
                  <c:v>20</c:v>
                </c:pt>
                <c:pt idx="13">
                  <c:v>19</c:v>
                </c:pt>
                <c:pt idx="14">
                  <c:v>10</c:v>
                </c:pt>
                <c:pt idx="15">
                  <c:v>6</c:v>
                </c:pt>
                <c:pt idx="16">
                  <c:v>14</c:v>
                </c:pt>
                <c:pt idx="17">
                  <c:v>14</c:v>
                </c:pt>
                <c:pt idx="18">
                  <c:v>9</c:v>
                </c:pt>
                <c:pt idx="19">
                  <c:v>11</c:v>
                </c:pt>
                <c:pt idx="20">
                  <c:v>15</c:v>
                </c:pt>
                <c:pt idx="21">
                  <c:v>5</c:v>
                </c:pt>
                <c:pt idx="22">
                  <c:v>22</c:v>
                </c:pt>
                <c:pt idx="23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07-4898-B32A-47FACBD7B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63280"/>
        <c:axId val="475660928"/>
        <c:extLst xmlns:c16r2="http://schemas.microsoft.com/office/drawing/2015/06/chart"/>
      </c:barChart>
      <c:catAx>
        <c:axId val="47566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0928"/>
        <c:crosses val="autoZero"/>
        <c:auto val="1"/>
        <c:lblAlgn val="ctr"/>
        <c:lblOffset val="100"/>
        <c:noMultiLvlLbl val="0"/>
      </c:catAx>
      <c:valAx>
        <c:axId val="4756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'キャセロール (2)'!$B$35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'キャセロール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'キャセロール (2)'!$C$38:$N$38</c:f>
              <c:numCache>
                <c:formatCode>General</c:formatCode>
                <c:ptCount val="12"/>
                <c:pt idx="0">
                  <c:v>26</c:v>
                </c:pt>
                <c:pt idx="1">
                  <c:v>31</c:v>
                </c:pt>
                <c:pt idx="2">
                  <c:v>21</c:v>
                </c:pt>
                <c:pt idx="3">
                  <c:v>47</c:v>
                </c:pt>
                <c:pt idx="4">
                  <c:v>30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  <c:pt idx="8">
                  <c:v>27</c:v>
                </c:pt>
                <c:pt idx="9">
                  <c:v>27</c:v>
                </c:pt>
                <c:pt idx="10">
                  <c:v>22</c:v>
                </c:pt>
                <c:pt idx="1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C3-4CD3-BCD4-D19B8A0274C4}"/>
            </c:ext>
          </c:extLst>
        </c:ser>
        <c:ser>
          <c:idx val="0"/>
          <c:order val="1"/>
          <c:tx>
            <c:strRef>
              <c:f>'キャセロール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'キャセロール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'キャセロール (2)'!$C$45:$N$45</c:f>
              <c:numCache>
                <c:formatCode>General</c:formatCode>
                <c:ptCount val="12"/>
                <c:pt idx="0">
                  <c:v>26</c:v>
                </c:pt>
                <c:pt idx="1">
                  <c:v>33</c:v>
                </c:pt>
                <c:pt idx="2">
                  <c:v>31</c:v>
                </c:pt>
                <c:pt idx="3">
                  <c:v>28</c:v>
                </c:pt>
                <c:pt idx="4">
                  <c:v>35</c:v>
                </c:pt>
                <c:pt idx="5">
                  <c:v>23</c:v>
                </c:pt>
                <c:pt idx="6">
                  <c:v>26</c:v>
                </c:pt>
                <c:pt idx="7">
                  <c:v>35</c:v>
                </c:pt>
                <c:pt idx="8">
                  <c:v>21</c:v>
                </c:pt>
                <c:pt idx="9">
                  <c:v>20</c:v>
                </c:pt>
                <c:pt idx="10">
                  <c:v>19</c:v>
                </c:pt>
                <c:pt idx="11">
                  <c:v>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C3-4CD3-BCD4-D19B8A027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552"/>
        <c:axId val="472539512"/>
        <c:extLst xmlns:c16r2="http://schemas.microsoft.com/office/drawing/2015/06/chart"/>
      </c:barChart>
      <c:catAx>
        <c:axId val="47253755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9512"/>
        <c:crosses val="autoZero"/>
        <c:auto val="1"/>
        <c:lblAlgn val="ctr"/>
        <c:lblOffset val="100"/>
        <c:noMultiLvlLbl val="0"/>
      </c:catAx>
      <c:valAx>
        <c:axId val="47253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05777186438942"/>
          <c:y val="5.5843066689429392E-2"/>
          <c:w val="0.26811990606437353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9032035380429944E-2"/>
          <c:y val="0.17546847341756699"/>
          <c:w val="0.95392735987053001"/>
          <c:h val="0.6931898919611793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'キャセロール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'キャセロール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'キャセロール (2)'!$C$46:$N$46</c:f>
              <c:numCache>
                <c:formatCode>General</c:formatCode>
                <c:ptCount val="12"/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C9-4058-A22D-B2D177A1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2064"/>
        <c:axId val="47253284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'キャセロール (2)'!$B$35</c15:sqref>
                        </c15:formulaRef>
                      </c:ext>
                    </c:extLst>
                    <c:strCache>
                      <c:ptCount val="1"/>
                      <c:pt idx="0">
                        <c:v>2022年7月～2023年6月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'キャセロール (2)'!$C$43:$N$43</c15:sqref>
                        </c15:formulaRef>
                      </c:ext>
                    </c:extLst>
                    <c:strCache>
                      <c:ptCount val="12"/>
                      <c:pt idx="0">
                        <c:v>7月</c:v>
                      </c:pt>
                      <c:pt idx="1">
                        <c:v>8月</c:v>
                      </c:pt>
                      <c:pt idx="2">
                        <c:v>9月</c:v>
                      </c:pt>
                      <c:pt idx="3">
                        <c:v>10月</c:v>
                      </c:pt>
                      <c:pt idx="4">
                        <c:v>11月</c:v>
                      </c:pt>
                      <c:pt idx="5">
                        <c:v>12月</c:v>
                      </c:pt>
                      <c:pt idx="6">
                        <c:v>1月</c:v>
                      </c:pt>
                      <c:pt idx="7">
                        <c:v>2月</c:v>
                      </c:pt>
                      <c:pt idx="8">
                        <c:v>3月</c:v>
                      </c:pt>
                      <c:pt idx="9">
                        <c:v>4月</c:v>
                      </c:pt>
                      <c:pt idx="10">
                        <c:v>5月</c:v>
                      </c:pt>
                      <c:pt idx="11">
                        <c:v>6月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'キャセロール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32</c:v>
                      </c:pt>
                      <c:pt idx="2">
                        <c:v>29</c:v>
                      </c:pt>
                      <c:pt idx="3">
                        <c:v>48</c:v>
                      </c:pt>
                      <c:pt idx="4">
                        <c:v>39</c:v>
                      </c:pt>
                      <c:pt idx="5">
                        <c:v>39</c:v>
                      </c:pt>
                      <c:pt idx="6">
                        <c:v>41</c:v>
                      </c:pt>
                      <c:pt idx="7">
                        <c:v>30</c:v>
                      </c:pt>
                      <c:pt idx="8">
                        <c:v>38</c:v>
                      </c:pt>
                      <c:pt idx="9">
                        <c:v>30</c:v>
                      </c:pt>
                      <c:pt idx="10">
                        <c:v>23</c:v>
                      </c:pt>
                      <c:pt idx="11">
                        <c:v>25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A2C9-4058-A22D-B2D177A1EF49}"/>
                  </c:ext>
                </c:extLst>
              </c15:ser>
            </c15:filteredBarSeries>
          </c:ext>
        </c:extLst>
      </c:barChart>
      <c:catAx>
        <c:axId val="47253206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848"/>
        <c:crosses val="autoZero"/>
        <c:auto val="1"/>
        <c:lblAlgn val="ctr"/>
        <c:lblOffset val="100"/>
        <c:noMultiLvlLbl val="0"/>
      </c:catAx>
      <c:valAx>
        <c:axId val="4725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19237097371112"/>
          <c:y val="5.5843066689429392E-2"/>
          <c:w val="0.244571523973329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50</xdr:row>
      <xdr:rowOff>28575</xdr:rowOff>
    </xdr:from>
    <xdr:to>
      <xdr:col>7</xdr:col>
      <xdr:colOff>809625</xdr:colOff>
      <xdr:row>67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B0413E67-B0A7-4F7A-BF50-C2055D93D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</xdr:colOff>
      <xdr:row>68</xdr:row>
      <xdr:rowOff>28575</xdr:rowOff>
    </xdr:from>
    <xdr:to>
      <xdr:col>15</xdr:col>
      <xdr:colOff>447675</xdr:colOff>
      <xdr:row>86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8633F3CE-EDA2-4F05-B2D6-B0CFBFAAC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50</xdr:row>
      <xdr:rowOff>28575</xdr:rowOff>
    </xdr:from>
    <xdr:to>
      <xdr:col>15</xdr:col>
      <xdr:colOff>438150</xdr:colOff>
      <xdr:row>67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8D5634CF-BDE3-4279-AB26-46CCC62FE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68</xdr:row>
      <xdr:rowOff>28575</xdr:rowOff>
    </xdr:from>
    <xdr:to>
      <xdr:col>7</xdr:col>
      <xdr:colOff>800101</xdr:colOff>
      <xdr:row>86</xdr:row>
      <xdr:rowOff>161925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50A723EC-4EBC-4B49-AC7D-7758E313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68"/>
  <sheetViews>
    <sheetView tabSelected="1" topLeftCell="A47" workbookViewId="0">
      <selection activeCell="L68" sqref="L68"/>
    </sheetView>
  </sheetViews>
  <sheetFormatPr defaultColWidth="9" defaultRowHeight="15.75" x14ac:dyDescent="0.15"/>
  <cols>
    <col min="1" max="1" width="12" style="1" customWidth="1"/>
    <col min="2" max="2" width="13.5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5" t="s">
        <v>19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5" t="s">
        <v>17</v>
      </c>
      <c r="J1" s="35" t="s">
        <v>12</v>
      </c>
      <c r="K1" s="35" t="s">
        <v>13</v>
      </c>
      <c r="L1" s="35" t="s">
        <v>14</v>
      </c>
      <c r="M1" s="35" t="s">
        <v>18</v>
      </c>
      <c r="N1" s="35" t="s">
        <v>16</v>
      </c>
      <c r="O1" s="35" t="s">
        <v>5</v>
      </c>
      <c r="P1" s="35" t="s">
        <v>6</v>
      </c>
      <c r="Q1" s="35" t="s">
        <v>7</v>
      </c>
      <c r="R1" s="35" t="s">
        <v>8</v>
      </c>
      <c r="S1" s="35" t="s">
        <v>9</v>
      </c>
      <c r="T1" s="35" t="s">
        <v>10</v>
      </c>
      <c r="U1" s="35" t="s">
        <v>26</v>
      </c>
      <c r="V1" s="35" t="s">
        <v>12</v>
      </c>
      <c r="W1" s="35" t="s">
        <v>13</v>
      </c>
      <c r="X1" s="35" t="s">
        <v>14</v>
      </c>
      <c r="Y1" s="35" t="s">
        <v>18</v>
      </c>
      <c r="Z1" s="35" t="s">
        <v>16</v>
      </c>
      <c r="AA1" s="35" t="s">
        <v>5</v>
      </c>
      <c r="AB1" s="35" t="s">
        <v>6</v>
      </c>
      <c r="AC1" s="35" t="s">
        <v>7</v>
      </c>
      <c r="AD1" s="35" t="s">
        <v>8</v>
      </c>
      <c r="AE1" s="35" t="s">
        <v>9</v>
      </c>
      <c r="AF1" s="35" t="s">
        <v>10</v>
      </c>
      <c r="AG1" s="35" t="s">
        <v>25</v>
      </c>
      <c r="AH1" s="35" t="s">
        <v>12</v>
      </c>
      <c r="AI1" s="35" t="s">
        <v>13</v>
      </c>
      <c r="AJ1" s="35" t="s">
        <v>14</v>
      </c>
      <c r="AK1" s="35" t="s">
        <v>18</v>
      </c>
      <c r="AL1" s="35" t="s">
        <v>16</v>
      </c>
      <c r="AM1" s="35" t="s">
        <v>5</v>
      </c>
      <c r="AN1" s="35" t="s">
        <v>6</v>
      </c>
      <c r="AO1" s="35" t="s">
        <v>7</v>
      </c>
      <c r="AP1" s="35" t="s">
        <v>8</v>
      </c>
      <c r="AQ1" s="35" t="s">
        <v>9</v>
      </c>
      <c r="AR1" s="35" t="s">
        <v>10</v>
      </c>
      <c r="AS1" s="35" t="s">
        <v>24</v>
      </c>
      <c r="AT1" s="35" t="s">
        <v>12</v>
      </c>
      <c r="AU1" s="35" t="s">
        <v>13</v>
      </c>
      <c r="AV1" s="35" t="s">
        <v>14</v>
      </c>
      <c r="AW1" s="35" t="s">
        <v>18</v>
      </c>
      <c r="AX1" s="35" t="s">
        <v>16</v>
      </c>
      <c r="AY1" s="35" t="s">
        <v>5</v>
      </c>
      <c r="AZ1" s="35" t="s">
        <v>6</v>
      </c>
      <c r="BA1" s="35" t="s">
        <v>7</v>
      </c>
      <c r="BB1" s="35" t="s">
        <v>8</v>
      </c>
      <c r="BC1" s="35" t="s">
        <v>9</v>
      </c>
      <c r="BD1" s="35" t="s">
        <v>10</v>
      </c>
      <c r="BE1" s="35" t="s">
        <v>27</v>
      </c>
      <c r="BF1" s="35" t="s">
        <v>12</v>
      </c>
      <c r="BG1" s="35" t="s">
        <v>13</v>
      </c>
      <c r="BH1" s="35" t="s">
        <v>14</v>
      </c>
      <c r="BI1" s="35" t="s">
        <v>18</v>
      </c>
      <c r="BJ1" s="35" t="s">
        <v>16</v>
      </c>
      <c r="BK1" s="35" t="s">
        <v>5</v>
      </c>
      <c r="BL1" s="35" t="s">
        <v>6</v>
      </c>
      <c r="BM1" s="35" t="s">
        <v>7</v>
      </c>
      <c r="BN1" s="35" t="s">
        <v>8</v>
      </c>
      <c r="BO1" s="35" t="s">
        <v>9</v>
      </c>
      <c r="BP1" s="35" t="s">
        <v>10</v>
      </c>
      <c r="BQ1" s="35" t="s">
        <v>27</v>
      </c>
      <c r="BR1" s="35" t="s">
        <v>12</v>
      </c>
      <c r="BS1" s="35" t="s">
        <v>13</v>
      </c>
      <c r="BT1" s="35" t="s">
        <v>14</v>
      </c>
      <c r="BU1" s="35" t="s">
        <v>18</v>
      </c>
      <c r="BV1" s="35" t="s">
        <v>16</v>
      </c>
      <c r="BW1" s="8" t="s">
        <v>4</v>
      </c>
    </row>
    <row r="2" spans="2:75" x14ac:dyDescent="0.15">
      <c r="B2" s="16" t="s">
        <v>3</v>
      </c>
      <c r="C2" s="4">
        <v>0</v>
      </c>
      <c r="D2" s="4">
        <v>0</v>
      </c>
      <c r="E2" s="4">
        <v>0</v>
      </c>
      <c r="F2" s="4">
        <v>0</v>
      </c>
      <c r="G2" s="4">
        <v>8</v>
      </c>
      <c r="H2" s="4">
        <v>16</v>
      </c>
      <c r="I2" s="4">
        <v>30</v>
      </c>
      <c r="J2" s="4">
        <v>32</v>
      </c>
      <c r="K2" s="4">
        <v>29</v>
      </c>
      <c r="L2" s="4">
        <v>25</v>
      </c>
      <c r="M2" s="4">
        <v>35</v>
      </c>
      <c r="N2" s="4">
        <v>34</v>
      </c>
      <c r="O2" s="4">
        <v>47</v>
      </c>
      <c r="P2" s="4">
        <f t="shared" ref="P2:Z5" si="0">D16</f>
        <v>41</v>
      </c>
      <c r="Q2" s="4">
        <f t="shared" si="0"/>
        <v>46</v>
      </c>
      <c r="R2" s="4">
        <f t="shared" si="0"/>
        <v>42</v>
      </c>
      <c r="S2" s="4">
        <f t="shared" si="0"/>
        <v>26</v>
      </c>
      <c r="T2" s="4">
        <f t="shared" si="0"/>
        <v>38</v>
      </c>
      <c r="U2" s="4">
        <f t="shared" si="0"/>
        <v>36</v>
      </c>
      <c r="V2" s="4">
        <f t="shared" si="0"/>
        <v>38</v>
      </c>
      <c r="W2" s="4">
        <f t="shared" si="0"/>
        <v>31</v>
      </c>
      <c r="X2" s="4">
        <f t="shared" si="0"/>
        <v>23</v>
      </c>
      <c r="Y2" s="4">
        <f t="shared" si="0"/>
        <v>17</v>
      </c>
      <c r="Z2" s="4">
        <f t="shared" si="0"/>
        <v>41</v>
      </c>
      <c r="AA2" s="4">
        <f>C23</f>
        <v>33</v>
      </c>
      <c r="AB2" s="4">
        <f t="shared" ref="AB2:AL5" si="1">D23</f>
        <v>26</v>
      </c>
      <c r="AC2" s="4">
        <f t="shared" si="1"/>
        <v>43</v>
      </c>
      <c r="AD2" s="4">
        <f t="shared" si="1"/>
        <v>35</v>
      </c>
      <c r="AE2" s="4">
        <f t="shared" si="1"/>
        <v>46</v>
      </c>
      <c r="AF2" s="4">
        <f t="shared" si="1"/>
        <v>19</v>
      </c>
      <c r="AG2" s="4">
        <f t="shared" si="1"/>
        <v>40</v>
      </c>
      <c r="AH2" s="4">
        <f t="shared" si="1"/>
        <v>19</v>
      </c>
      <c r="AI2" s="4">
        <f t="shared" si="1"/>
        <v>37</v>
      </c>
      <c r="AJ2" s="4">
        <f t="shared" si="1"/>
        <v>40</v>
      </c>
      <c r="AK2" s="4">
        <f t="shared" si="1"/>
        <v>37</v>
      </c>
      <c r="AL2" s="4">
        <f t="shared" si="1"/>
        <v>29</v>
      </c>
      <c r="AM2" s="4">
        <f>C30</f>
        <v>13</v>
      </c>
      <c r="AN2" s="4">
        <f t="shared" ref="AN2:AX5" si="2">D30</f>
        <v>16</v>
      </c>
      <c r="AO2" s="4">
        <f t="shared" si="2"/>
        <v>20</v>
      </c>
      <c r="AP2" s="4">
        <f t="shared" si="2"/>
        <v>22</v>
      </c>
      <c r="AQ2" s="4">
        <f t="shared" si="2"/>
        <v>33</v>
      </c>
      <c r="AR2" s="4">
        <f t="shared" si="2"/>
        <v>35</v>
      </c>
      <c r="AS2" s="4">
        <f t="shared" si="2"/>
        <v>45</v>
      </c>
      <c r="AT2" s="4">
        <f t="shared" si="2"/>
        <v>27</v>
      </c>
      <c r="AU2" s="4">
        <f t="shared" si="2"/>
        <v>22</v>
      </c>
      <c r="AV2" s="4">
        <f t="shared" si="2"/>
        <v>33</v>
      </c>
      <c r="AW2" s="4">
        <f t="shared" si="2"/>
        <v>29</v>
      </c>
      <c r="AX2" s="4">
        <f t="shared" si="2"/>
        <v>29</v>
      </c>
      <c r="AY2" s="42">
        <f>C37</f>
        <v>30</v>
      </c>
      <c r="AZ2" s="42">
        <f t="shared" ref="AZ2:BJ5" si="3">D37</f>
        <v>32</v>
      </c>
      <c r="BA2" s="42">
        <f t="shared" si="3"/>
        <v>29</v>
      </c>
      <c r="BB2" s="42">
        <f t="shared" si="3"/>
        <v>48</v>
      </c>
      <c r="BC2" s="42">
        <f t="shared" si="3"/>
        <v>39</v>
      </c>
      <c r="BD2" s="42">
        <f t="shared" si="3"/>
        <v>39</v>
      </c>
      <c r="BE2" s="42">
        <f t="shared" si="3"/>
        <v>41</v>
      </c>
      <c r="BF2" s="42">
        <f t="shared" si="3"/>
        <v>30</v>
      </c>
      <c r="BG2" s="42">
        <f t="shared" si="3"/>
        <v>38</v>
      </c>
      <c r="BH2" s="42">
        <f t="shared" si="3"/>
        <v>30</v>
      </c>
      <c r="BI2" s="42">
        <f t="shared" si="3"/>
        <v>23</v>
      </c>
      <c r="BJ2" s="42">
        <f t="shared" si="3"/>
        <v>25</v>
      </c>
      <c r="BK2" s="42">
        <f>C44</f>
        <v>31</v>
      </c>
      <c r="BL2" s="42">
        <f t="shared" ref="BL2:BV2" si="4">D44</f>
        <v>28</v>
      </c>
      <c r="BM2" s="42">
        <f t="shared" si="4"/>
        <v>33</v>
      </c>
      <c r="BN2" s="42">
        <f t="shared" si="4"/>
        <v>38</v>
      </c>
      <c r="BO2" s="42">
        <f t="shared" si="4"/>
        <v>30</v>
      </c>
      <c r="BP2" s="42">
        <f t="shared" si="4"/>
        <v>26</v>
      </c>
      <c r="BQ2" s="42">
        <f t="shared" si="4"/>
        <v>28</v>
      </c>
      <c r="BR2" s="42">
        <f t="shared" si="4"/>
        <v>39</v>
      </c>
      <c r="BS2" s="42">
        <f t="shared" si="4"/>
        <v>34</v>
      </c>
      <c r="BT2" s="42">
        <f t="shared" si="4"/>
        <v>18</v>
      </c>
      <c r="BU2" s="42">
        <f t="shared" si="4"/>
        <v>25</v>
      </c>
      <c r="BV2" s="42">
        <f t="shared" si="4"/>
        <v>21</v>
      </c>
      <c r="BW2" s="9">
        <f>SUM(C2:BV2)</f>
        <v>2118</v>
      </c>
    </row>
    <row r="3" spans="2:75" x14ac:dyDescent="0.15">
      <c r="B3" s="16" t="s">
        <v>2</v>
      </c>
      <c r="C3" s="4">
        <v>0</v>
      </c>
      <c r="D3" s="4">
        <v>19</v>
      </c>
      <c r="E3" s="4">
        <v>5</v>
      </c>
      <c r="F3" s="4">
        <v>5</v>
      </c>
      <c r="G3" s="4">
        <v>4</v>
      </c>
      <c r="H3" s="4">
        <v>4</v>
      </c>
      <c r="I3" s="4">
        <v>26</v>
      </c>
      <c r="J3" s="4">
        <v>19</v>
      </c>
      <c r="K3" s="4">
        <v>16</v>
      </c>
      <c r="L3" s="4">
        <v>20</v>
      </c>
      <c r="M3" s="4">
        <v>13</v>
      </c>
      <c r="N3" s="4">
        <v>26</v>
      </c>
      <c r="O3" s="4">
        <v>19</v>
      </c>
      <c r="P3" s="4">
        <f t="shared" si="0"/>
        <v>32</v>
      </c>
      <c r="Q3" s="4">
        <f t="shared" si="0"/>
        <v>37</v>
      </c>
      <c r="R3" s="4">
        <f t="shared" si="0"/>
        <v>33</v>
      </c>
      <c r="S3" s="4">
        <f t="shared" si="0"/>
        <v>24</v>
      </c>
      <c r="T3" s="4">
        <f t="shared" si="0"/>
        <v>40</v>
      </c>
      <c r="U3" s="4">
        <f t="shared" si="0"/>
        <v>21</v>
      </c>
      <c r="V3" s="4">
        <f t="shared" si="0"/>
        <v>28</v>
      </c>
      <c r="W3" s="4">
        <f t="shared" si="0"/>
        <v>30</v>
      </c>
      <c r="X3" s="4">
        <f t="shared" si="0"/>
        <v>24</v>
      </c>
      <c r="Y3" s="4">
        <f t="shared" si="0"/>
        <v>8</v>
      </c>
      <c r="Z3" s="4">
        <f t="shared" si="0"/>
        <v>33</v>
      </c>
      <c r="AA3" s="4">
        <f t="shared" ref="AA3:AA5" si="5">C24</f>
        <v>27</v>
      </c>
      <c r="AB3" s="4">
        <f t="shared" si="1"/>
        <v>22</v>
      </c>
      <c r="AC3" s="4">
        <f t="shared" si="1"/>
        <v>42</v>
      </c>
      <c r="AD3" s="4">
        <f t="shared" si="1"/>
        <v>26</v>
      </c>
      <c r="AE3" s="4">
        <f t="shared" si="1"/>
        <v>47</v>
      </c>
      <c r="AF3" s="4">
        <f t="shared" si="1"/>
        <v>17</v>
      </c>
      <c r="AG3" s="4">
        <f t="shared" si="1"/>
        <v>40</v>
      </c>
      <c r="AH3" s="4">
        <f t="shared" si="1"/>
        <v>26</v>
      </c>
      <c r="AI3" s="4">
        <f t="shared" si="1"/>
        <v>38</v>
      </c>
      <c r="AJ3" s="4">
        <f t="shared" si="1"/>
        <v>47</v>
      </c>
      <c r="AK3" s="4">
        <f t="shared" si="1"/>
        <v>15</v>
      </c>
      <c r="AL3" s="4">
        <f t="shared" si="1"/>
        <v>24</v>
      </c>
      <c r="AM3" s="4">
        <f t="shared" ref="AM3:AM5" si="6">C31</f>
        <v>11</v>
      </c>
      <c r="AN3" s="4">
        <f t="shared" si="2"/>
        <v>26</v>
      </c>
      <c r="AO3" s="4">
        <f t="shared" si="2"/>
        <v>15</v>
      </c>
      <c r="AP3" s="4">
        <f t="shared" si="2"/>
        <v>12</v>
      </c>
      <c r="AQ3" s="4">
        <f t="shared" si="2"/>
        <v>33</v>
      </c>
      <c r="AR3" s="4">
        <f t="shared" si="2"/>
        <v>33</v>
      </c>
      <c r="AS3" s="4">
        <f t="shared" si="2"/>
        <v>47</v>
      </c>
      <c r="AT3" s="4">
        <f t="shared" si="2"/>
        <v>42</v>
      </c>
      <c r="AU3" s="4">
        <f t="shared" si="2"/>
        <v>31</v>
      </c>
      <c r="AV3" s="4">
        <f t="shared" si="2"/>
        <v>20</v>
      </c>
      <c r="AW3" s="4">
        <f t="shared" si="2"/>
        <v>28</v>
      </c>
      <c r="AX3" s="4">
        <f t="shared" si="2"/>
        <v>27</v>
      </c>
      <c r="AY3" s="42">
        <f t="shared" ref="AY3:AY5" si="7">C38</f>
        <v>26</v>
      </c>
      <c r="AZ3" s="42">
        <f t="shared" si="3"/>
        <v>31</v>
      </c>
      <c r="BA3" s="42">
        <f t="shared" si="3"/>
        <v>21</v>
      </c>
      <c r="BB3" s="42">
        <f t="shared" si="3"/>
        <v>47</v>
      </c>
      <c r="BC3" s="42">
        <f t="shared" si="3"/>
        <v>30</v>
      </c>
      <c r="BD3" s="42">
        <f t="shared" si="3"/>
        <v>38</v>
      </c>
      <c r="BE3" s="42">
        <f t="shared" si="3"/>
        <v>37</v>
      </c>
      <c r="BF3" s="42">
        <f t="shared" si="3"/>
        <v>33</v>
      </c>
      <c r="BG3" s="42">
        <f t="shared" si="3"/>
        <v>27</v>
      </c>
      <c r="BH3" s="42">
        <f t="shared" si="3"/>
        <v>27</v>
      </c>
      <c r="BI3" s="42">
        <f t="shared" si="3"/>
        <v>22</v>
      </c>
      <c r="BJ3" s="42">
        <f t="shared" si="3"/>
        <v>22</v>
      </c>
      <c r="BK3" s="42">
        <f t="shared" ref="BK3:BK5" si="8">C46</f>
        <v>0</v>
      </c>
      <c r="BL3" s="42">
        <f t="shared" ref="BL3:BV5" si="9">D46</f>
        <v>0</v>
      </c>
      <c r="BM3" s="42">
        <f t="shared" si="9"/>
        <v>0</v>
      </c>
      <c r="BN3" s="42">
        <f t="shared" si="9"/>
        <v>0</v>
      </c>
      <c r="BO3" s="42">
        <f t="shared" si="9"/>
        <v>0</v>
      </c>
      <c r="BP3" s="42">
        <f t="shared" si="9"/>
        <v>0</v>
      </c>
      <c r="BQ3" s="42">
        <f t="shared" si="9"/>
        <v>0</v>
      </c>
      <c r="BR3" s="42">
        <f t="shared" si="9"/>
        <v>0</v>
      </c>
      <c r="BS3" s="42">
        <f t="shared" si="9"/>
        <v>6</v>
      </c>
      <c r="BT3" s="42">
        <f t="shared" si="9"/>
        <v>3</v>
      </c>
      <c r="BU3" s="42">
        <f t="shared" si="9"/>
        <v>4</v>
      </c>
      <c r="BV3" s="42">
        <f t="shared" si="9"/>
        <v>5</v>
      </c>
      <c r="BW3" s="9">
        <f t="shared" ref="BW3:BW5" si="10">SUM(C3:BV3)</f>
        <v>1561</v>
      </c>
    </row>
    <row r="4" spans="2:75" x14ac:dyDescent="0.15">
      <c r="B4" s="16" t="s">
        <v>1</v>
      </c>
      <c r="C4" s="4">
        <v>9</v>
      </c>
      <c r="D4" s="4">
        <v>4</v>
      </c>
      <c r="E4" s="4">
        <v>3</v>
      </c>
      <c r="F4" s="4">
        <v>4</v>
      </c>
      <c r="G4" s="4">
        <v>8</v>
      </c>
      <c r="H4" s="4">
        <v>2</v>
      </c>
      <c r="I4" s="4">
        <v>10</v>
      </c>
      <c r="J4" s="4">
        <v>6</v>
      </c>
      <c r="K4" s="4">
        <v>6</v>
      </c>
      <c r="L4" s="4">
        <v>4</v>
      </c>
      <c r="M4" s="4">
        <v>6</v>
      </c>
      <c r="N4" s="4">
        <v>8</v>
      </c>
      <c r="O4" s="4">
        <v>4</v>
      </c>
      <c r="P4" s="4">
        <f t="shared" si="0"/>
        <v>7</v>
      </c>
      <c r="Q4" s="4">
        <f t="shared" si="0"/>
        <v>7</v>
      </c>
      <c r="R4" s="4">
        <f t="shared" si="0"/>
        <v>20</v>
      </c>
      <c r="S4" s="4">
        <f t="shared" si="0"/>
        <v>20</v>
      </c>
      <c r="T4" s="4">
        <f t="shared" si="0"/>
        <v>12</v>
      </c>
      <c r="U4" s="4">
        <f t="shared" si="0"/>
        <v>9</v>
      </c>
      <c r="V4" s="4">
        <f t="shared" si="0"/>
        <v>10</v>
      </c>
      <c r="W4" s="4">
        <f t="shared" si="0"/>
        <v>8</v>
      </c>
      <c r="X4" s="4">
        <f t="shared" si="0"/>
        <v>11</v>
      </c>
      <c r="Y4" s="4">
        <f t="shared" si="0"/>
        <v>6</v>
      </c>
      <c r="Z4" s="4">
        <f t="shared" si="0"/>
        <v>7</v>
      </c>
      <c r="AA4" s="4">
        <f t="shared" si="5"/>
        <v>6</v>
      </c>
      <c r="AB4" s="4">
        <f t="shared" si="1"/>
        <v>12</v>
      </c>
      <c r="AC4" s="4">
        <f t="shared" si="1"/>
        <v>10</v>
      </c>
      <c r="AD4" s="4">
        <f t="shared" si="1"/>
        <v>4</v>
      </c>
      <c r="AE4" s="4">
        <f t="shared" si="1"/>
        <v>5</v>
      </c>
      <c r="AF4" s="4">
        <f t="shared" si="1"/>
        <v>7</v>
      </c>
      <c r="AG4" s="4">
        <f t="shared" si="1"/>
        <v>15</v>
      </c>
      <c r="AH4" s="4">
        <f t="shared" si="1"/>
        <v>7</v>
      </c>
      <c r="AI4" s="4">
        <f t="shared" si="1"/>
        <v>7</v>
      </c>
      <c r="AJ4" s="4">
        <f t="shared" si="1"/>
        <v>12</v>
      </c>
      <c r="AK4" s="4">
        <f t="shared" si="1"/>
        <v>14</v>
      </c>
      <c r="AL4" s="4">
        <f t="shared" si="1"/>
        <v>12</v>
      </c>
      <c r="AM4" s="4">
        <f t="shared" si="6"/>
        <v>12</v>
      </c>
      <c r="AN4" s="4">
        <f t="shared" si="2"/>
        <v>6</v>
      </c>
      <c r="AO4" s="4">
        <f t="shared" si="2"/>
        <v>1</v>
      </c>
      <c r="AP4" s="4">
        <f t="shared" si="2"/>
        <v>6</v>
      </c>
      <c r="AQ4" s="4">
        <f t="shared" si="2"/>
        <v>5</v>
      </c>
      <c r="AR4" s="4">
        <f t="shared" si="2"/>
        <v>3</v>
      </c>
      <c r="AS4" s="4">
        <f t="shared" si="2"/>
        <v>10</v>
      </c>
      <c r="AT4" s="4">
        <f t="shared" si="2"/>
        <v>3</v>
      </c>
      <c r="AU4" s="4">
        <f t="shared" si="2"/>
        <v>12</v>
      </c>
      <c r="AV4" s="4">
        <f t="shared" si="2"/>
        <v>3</v>
      </c>
      <c r="AW4" s="4">
        <f t="shared" si="2"/>
        <v>3</v>
      </c>
      <c r="AX4" s="4">
        <f t="shared" si="2"/>
        <v>4</v>
      </c>
      <c r="AY4" s="42">
        <f t="shared" si="7"/>
        <v>8</v>
      </c>
      <c r="AZ4" s="42">
        <f t="shared" si="3"/>
        <v>3</v>
      </c>
      <c r="BA4" s="42">
        <f t="shared" si="3"/>
        <v>1</v>
      </c>
      <c r="BB4" s="42">
        <f t="shared" si="3"/>
        <v>4</v>
      </c>
      <c r="BC4" s="42">
        <f t="shared" si="3"/>
        <v>7</v>
      </c>
      <c r="BD4" s="42">
        <f t="shared" si="3"/>
        <v>7</v>
      </c>
      <c r="BE4" s="42">
        <f t="shared" si="3"/>
        <v>6</v>
      </c>
      <c r="BF4" s="42">
        <f t="shared" si="3"/>
        <v>6</v>
      </c>
      <c r="BG4" s="42">
        <f t="shared" si="3"/>
        <v>2</v>
      </c>
      <c r="BH4" s="42">
        <f t="shared" si="3"/>
        <v>3</v>
      </c>
      <c r="BI4" s="42">
        <f t="shared" si="3"/>
        <v>6</v>
      </c>
      <c r="BJ4" s="42">
        <f t="shared" si="3"/>
        <v>5</v>
      </c>
      <c r="BK4" s="42">
        <f t="shared" si="8"/>
        <v>9</v>
      </c>
      <c r="BL4" s="42">
        <f t="shared" si="9"/>
        <v>6</v>
      </c>
      <c r="BM4" s="42">
        <f t="shared" si="9"/>
        <v>8</v>
      </c>
      <c r="BN4" s="42">
        <f t="shared" si="9"/>
        <v>3</v>
      </c>
      <c r="BO4" s="42">
        <f t="shared" si="9"/>
        <v>3</v>
      </c>
      <c r="BP4" s="42">
        <f t="shared" si="9"/>
        <v>3</v>
      </c>
      <c r="BQ4" s="42">
        <f t="shared" si="9"/>
        <v>9</v>
      </c>
      <c r="BR4" s="42">
        <f t="shared" si="9"/>
        <v>5</v>
      </c>
      <c r="BS4" s="42">
        <f t="shared" si="9"/>
        <v>3</v>
      </c>
      <c r="BT4" s="42">
        <f t="shared" si="9"/>
        <v>0</v>
      </c>
      <c r="BU4" s="42">
        <f t="shared" si="9"/>
        <v>7</v>
      </c>
      <c r="BV4" s="42">
        <f t="shared" si="9"/>
        <v>1</v>
      </c>
      <c r="BW4" s="9">
        <f t="shared" si="10"/>
        <v>485</v>
      </c>
    </row>
    <row r="5" spans="2:75" ht="16.5" thickBot="1" x14ac:dyDescent="0.2">
      <c r="B5" s="17" t="s">
        <v>0</v>
      </c>
      <c r="C5" s="10">
        <v>47</v>
      </c>
      <c r="D5" s="10">
        <v>13</v>
      </c>
      <c r="E5" s="10">
        <v>12</v>
      </c>
      <c r="F5" s="10">
        <v>14</v>
      </c>
      <c r="G5" s="10">
        <v>11</v>
      </c>
      <c r="H5" s="10">
        <v>20</v>
      </c>
      <c r="I5" s="10">
        <v>22</v>
      </c>
      <c r="J5" s="10">
        <v>21</v>
      </c>
      <c r="K5" s="10">
        <v>21</v>
      </c>
      <c r="L5" s="10">
        <v>33</v>
      </c>
      <c r="M5" s="10">
        <v>37</v>
      </c>
      <c r="N5" s="10">
        <v>28</v>
      </c>
      <c r="O5" s="10">
        <v>36</v>
      </c>
      <c r="P5" s="4">
        <f t="shared" si="0"/>
        <v>32</v>
      </c>
      <c r="Q5" s="4">
        <f t="shared" si="0"/>
        <v>48</v>
      </c>
      <c r="R5" s="4">
        <f t="shared" si="0"/>
        <v>42</v>
      </c>
      <c r="S5" s="4">
        <f t="shared" si="0"/>
        <v>42</v>
      </c>
      <c r="T5" s="4">
        <f t="shared" si="0"/>
        <v>40</v>
      </c>
      <c r="U5" s="4">
        <f t="shared" si="0"/>
        <v>26</v>
      </c>
      <c r="V5" s="4">
        <f t="shared" si="0"/>
        <v>43</v>
      </c>
      <c r="W5" s="4">
        <f t="shared" si="0"/>
        <v>38</v>
      </c>
      <c r="X5" s="4">
        <f t="shared" si="0"/>
        <v>61</v>
      </c>
      <c r="Y5" s="4">
        <f t="shared" si="0"/>
        <v>32</v>
      </c>
      <c r="Z5" s="4">
        <f t="shared" si="0"/>
        <v>32</v>
      </c>
      <c r="AA5" s="4">
        <f t="shared" si="5"/>
        <v>34</v>
      </c>
      <c r="AB5" s="4">
        <f t="shared" si="1"/>
        <v>33</v>
      </c>
      <c r="AC5" s="4">
        <f t="shared" si="1"/>
        <v>46</v>
      </c>
      <c r="AD5" s="4">
        <f t="shared" si="1"/>
        <v>24</v>
      </c>
      <c r="AE5" s="4">
        <f t="shared" si="1"/>
        <v>31</v>
      </c>
      <c r="AF5" s="4">
        <f t="shared" si="1"/>
        <v>19</v>
      </c>
      <c r="AG5" s="4">
        <f t="shared" si="1"/>
        <v>42</v>
      </c>
      <c r="AH5" s="4">
        <f t="shared" si="1"/>
        <v>52</v>
      </c>
      <c r="AI5" s="4">
        <f t="shared" si="1"/>
        <v>37</v>
      </c>
      <c r="AJ5" s="4">
        <f t="shared" si="1"/>
        <v>35</v>
      </c>
      <c r="AK5" s="4">
        <f t="shared" si="1"/>
        <v>27</v>
      </c>
      <c r="AL5" s="4">
        <f t="shared" si="1"/>
        <v>28</v>
      </c>
      <c r="AM5" s="10">
        <f t="shared" si="6"/>
        <v>24</v>
      </c>
      <c r="AN5" s="10">
        <f t="shared" si="2"/>
        <v>15</v>
      </c>
      <c r="AO5" s="10">
        <f t="shared" si="2"/>
        <v>13</v>
      </c>
      <c r="AP5" s="10">
        <f t="shared" si="2"/>
        <v>21</v>
      </c>
      <c r="AQ5" s="10">
        <f t="shared" si="2"/>
        <v>27</v>
      </c>
      <c r="AR5" s="10">
        <f t="shared" si="2"/>
        <v>19</v>
      </c>
      <c r="AS5" s="10">
        <f t="shared" si="2"/>
        <v>61</v>
      </c>
      <c r="AT5" s="10">
        <f t="shared" si="2"/>
        <v>41</v>
      </c>
      <c r="AU5" s="10">
        <f t="shared" si="2"/>
        <v>18</v>
      </c>
      <c r="AV5" s="10">
        <f t="shared" si="2"/>
        <v>24</v>
      </c>
      <c r="AW5" s="10">
        <f t="shared" si="2"/>
        <v>17</v>
      </c>
      <c r="AX5" s="10">
        <f t="shared" si="2"/>
        <v>25</v>
      </c>
      <c r="AY5" s="42">
        <f t="shared" si="7"/>
        <v>38</v>
      </c>
      <c r="AZ5" s="42">
        <f t="shared" si="3"/>
        <v>27</v>
      </c>
      <c r="BA5" s="42">
        <f t="shared" si="3"/>
        <v>13</v>
      </c>
      <c r="BB5" s="42">
        <f t="shared" si="3"/>
        <v>48</v>
      </c>
      <c r="BC5" s="42">
        <f t="shared" si="3"/>
        <v>31</v>
      </c>
      <c r="BD5" s="42">
        <f t="shared" si="3"/>
        <v>18</v>
      </c>
      <c r="BE5" s="42">
        <f t="shared" si="3"/>
        <v>23</v>
      </c>
      <c r="BF5" s="42">
        <f t="shared" si="3"/>
        <v>27</v>
      </c>
      <c r="BG5" s="42">
        <f t="shared" si="3"/>
        <v>20</v>
      </c>
      <c r="BH5" s="42">
        <f t="shared" si="3"/>
        <v>23</v>
      </c>
      <c r="BI5" s="42">
        <f t="shared" si="3"/>
        <v>18</v>
      </c>
      <c r="BJ5" s="42">
        <f t="shared" si="3"/>
        <v>11</v>
      </c>
      <c r="BK5" s="42">
        <f t="shared" si="8"/>
        <v>20</v>
      </c>
      <c r="BL5" s="42">
        <f t="shared" si="9"/>
        <v>19</v>
      </c>
      <c r="BM5" s="42">
        <f t="shared" si="9"/>
        <v>10</v>
      </c>
      <c r="BN5" s="42">
        <f t="shared" si="9"/>
        <v>6</v>
      </c>
      <c r="BO5" s="42">
        <f t="shared" si="9"/>
        <v>14</v>
      </c>
      <c r="BP5" s="42">
        <f t="shared" si="9"/>
        <v>14</v>
      </c>
      <c r="BQ5" s="42">
        <f t="shared" si="9"/>
        <v>9</v>
      </c>
      <c r="BR5" s="42">
        <f t="shared" si="9"/>
        <v>11</v>
      </c>
      <c r="BS5" s="42">
        <f t="shared" si="9"/>
        <v>15</v>
      </c>
      <c r="BT5" s="42">
        <f t="shared" si="9"/>
        <v>5</v>
      </c>
      <c r="BU5" s="42">
        <f t="shared" si="9"/>
        <v>22</v>
      </c>
      <c r="BV5" s="42">
        <f t="shared" si="9"/>
        <v>30</v>
      </c>
      <c r="BW5" s="9">
        <f t="shared" si="10"/>
        <v>1936</v>
      </c>
    </row>
    <row r="6" spans="2:75" ht="16.5" thickBot="1" x14ac:dyDescent="0.2">
      <c r="B6" s="4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1"/>
      <c r="AA6" s="1"/>
      <c r="AM6" s="1"/>
      <c r="BW6" s="15"/>
    </row>
    <row r="7" spans="2:75" ht="29.25" customHeight="1" thickBot="1" x14ac:dyDescent="0.2">
      <c r="B7" s="19" t="s">
        <v>20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5"/>
    </row>
    <row r="8" spans="2:75" s="6" customFormat="1" x14ac:dyDescent="0.15">
      <c r="B8" s="7"/>
      <c r="C8" s="41" t="s">
        <v>21</v>
      </c>
      <c r="D8" s="41" t="s">
        <v>6</v>
      </c>
      <c r="E8" s="41" t="s">
        <v>7</v>
      </c>
      <c r="F8" s="41" t="s">
        <v>8</v>
      </c>
      <c r="G8" s="41" t="s">
        <v>9</v>
      </c>
      <c r="H8" s="41" t="s">
        <v>10</v>
      </c>
      <c r="I8" s="41" t="s">
        <v>11</v>
      </c>
      <c r="J8" s="41" t="s">
        <v>12</v>
      </c>
      <c r="K8" s="41" t="s">
        <v>13</v>
      </c>
      <c r="L8" s="41" t="s">
        <v>14</v>
      </c>
      <c r="M8" s="41" t="s">
        <v>18</v>
      </c>
      <c r="N8" s="41" t="s">
        <v>16</v>
      </c>
      <c r="O8" s="8" t="s">
        <v>4</v>
      </c>
      <c r="AA8" s="1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4"/>
    </row>
    <row r="9" spans="2:75" x14ac:dyDescent="0.15">
      <c r="B9" s="16" t="s">
        <v>3</v>
      </c>
      <c r="C9" s="4">
        <v>0</v>
      </c>
      <c r="D9" s="4">
        <v>0</v>
      </c>
      <c r="E9" s="4">
        <v>0</v>
      </c>
      <c r="F9" s="4">
        <v>0</v>
      </c>
      <c r="G9" s="4">
        <v>8</v>
      </c>
      <c r="H9" s="4">
        <v>16</v>
      </c>
      <c r="I9" s="4">
        <v>30</v>
      </c>
      <c r="J9" s="4">
        <v>32</v>
      </c>
      <c r="K9" s="4">
        <v>29</v>
      </c>
      <c r="L9" s="4">
        <v>25</v>
      </c>
      <c r="M9" s="4">
        <v>35</v>
      </c>
      <c r="N9" s="3">
        <v>34</v>
      </c>
      <c r="O9" s="9">
        <f>SUM(C9:N9)</f>
        <v>209</v>
      </c>
      <c r="AA9" s="15"/>
      <c r="AM9" s="15"/>
    </row>
    <row r="10" spans="2:75" x14ac:dyDescent="0.15">
      <c r="B10" s="16" t="s">
        <v>2</v>
      </c>
      <c r="C10" s="4">
        <v>0</v>
      </c>
      <c r="D10" s="4">
        <v>19</v>
      </c>
      <c r="E10" s="4">
        <v>5</v>
      </c>
      <c r="F10" s="4">
        <v>5</v>
      </c>
      <c r="G10" s="4">
        <v>4</v>
      </c>
      <c r="H10" s="4">
        <v>4</v>
      </c>
      <c r="I10" s="4">
        <v>26</v>
      </c>
      <c r="J10" s="4">
        <v>19</v>
      </c>
      <c r="K10" s="4">
        <v>16</v>
      </c>
      <c r="L10" s="4">
        <v>20</v>
      </c>
      <c r="M10" s="4">
        <v>13</v>
      </c>
      <c r="N10" s="3">
        <v>26</v>
      </c>
      <c r="O10" s="9">
        <f>SUM(C10:N10)</f>
        <v>157</v>
      </c>
      <c r="AA10" s="15"/>
      <c r="AM10" s="15"/>
    </row>
    <row r="11" spans="2:75" x14ac:dyDescent="0.15">
      <c r="B11" s="16" t="s">
        <v>1</v>
      </c>
      <c r="C11" s="4">
        <v>9</v>
      </c>
      <c r="D11" s="4">
        <v>4</v>
      </c>
      <c r="E11" s="4">
        <v>3</v>
      </c>
      <c r="F11" s="4">
        <v>4</v>
      </c>
      <c r="G11" s="4">
        <v>8</v>
      </c>
      <c r="H11" s="4">
        <v>2</v>
      </c>
      <c r="I11" s="4">
        <v>10</v>
      </c>
      <c r="J11" s="4">
        <v>6</v>
      </c>
      <c r="K11" s="4">
        <v>6</v>
      </c>
      <c r="L11" s="4">
        <v>4</v>
      </c>
      <c r="M11" s="4">
        <v>6</v>
      </c>
      <c r="N11" s="3">
        <v>8</v>
      </c>
      <c r="O11" s="9">
        <f>SUM(C11:N11)</f>
        <v>70</v>
      </c>
      <c r="AA11" s="15"/>
      <c r="AM11" s="15"/>
    </row>
    <row r="12" spans="2:75" ht="16.5" thickBot="1" x14ac:dyDescent="0.2">
      <c r="B12" s="17" t="s">
        <v>0</v>
      </c>
      <c r="C12" s="4">
        <v>47</v>
      </c>
      <c r="D12" s="4">
        <v>13</v>
      </c>
      <c r="E12" s="4">
        <v>12</v>
      </c>
      <c r="F12" s="4">
        <v>14</v>
      </c>
      <c r="G12" s="4">
        <v>11</v>
      </c>
      <c r="H12" s="4">
        <v>20</v>
      </c>
      <c r="I12" s="4">
        <v>22</v>
      </c>
      <c r="J12" s="4">
        <v>21</v>
      </c>
      <c r="K12" s="4">
        <v>21</v>
      </c>
      <c r="L12" s="4">
        <v>33</v>
      </c>
      <c r="M12" s="4">
        <v>37</v>
      </c>
      <c r="N12" s="3">
        <v>28</v>
      </c>
      <c r="O12" s="12">
        <f>SUM(C12:N12)</f>
        <v>279</v>
      </c>
      <c r="AA12" s="15"/>
      <c r="AM12" s="15"/>
    </row>
    <row r="13" spans="2:75" ht="6.75" customHeight="1" x14ac:dyDescent="0.15">
      <c r="B13" s="18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/>
      <c r="AA13" s="34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5"/>
    </row>
    <row r="14" spans="2:75" ht="29.25" customHeight="1" thickBot="1" x14ac:dyDescent="0.2">
      <c r="B14" s="19" t="s">
        <v>22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AA14" s="2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5"/>
    </row>
    <row r="15" spans="2:75" s="5" customFormat="1" x14ac:dyDescent="0.15">
      <c r="B15" s="13"/>
      <c r="C15" s="41" t="s">
        <v>21</v>
      </c>
      <c r="D15" s="41" t="s">
        <v>6</v>
      </c>
      <c r="E15" s="41" t="s">
        <v>7</v>
      </c>
      <c r="F15" s="41" t="s">
        <v>8</v>
      </c>
      <c r="G15" s="41" t="s">
        <v>9</v>
      </c>
      <c r="H15" s="41" t="s">
        <v>10</v>
      </c>
      <c r="I15" s="41" t="s">
        <v>11</v>
      </c>
      <c r="J15" s="41" t="s">
        <v>12</v>
      </c>
      <c r="K15" s="41" t="s">
        <v>13</v>
      </c>
      <c r="L15" s="41" t="s">
        <v>14</v>
      </c>
      <c r="M15" s="41" t="s">
        <v>18</v>
      </c>
      <c r="N15" s="41" t="s">
        <v>16</v>
      </c>
      <c r="O15" s="14" t="s">
        <v>15</v>
      </c>
      <c r="AA15" s="1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5"/>
    </row>
    <row r="16" spans="2:75" x14ac:dyDescent="0.15">
      <c r="B16" s="16" t="s">
        <v>3</v>
      </c>
      <c r="C16" s="4">
        <v>47</v>
      </c>
      <c r="D16" s="4">
        <v>41</v>
      </c>
      <c r="E16" s="4">
        <v>46</v>
      </c>
      <c r="F16" s="4">
        <v>42</v>
      </c>
      <c r="G16" s="4">
        <v>26</v>
      </c>
      <c r="H16" s="4">
        <v>38</v>
      </c>
      <c r="I16" s="4">
        <v>36</v>
      </c>
      <c r="J16" s="4">
        <v>38</v>
      </c>
      <c r="K16" s="4">
        <v>31</v>
      </c>
      <c r="L16" s="4">
        <v>23</v>
      </c>
      <c r="M16" s="4">
        <v>17</v>
      </c>
      <c r="N16" s="3">
        <v>41</v>
      </c>
      <c r="O16" s="9">
        <f>SUM(C16:N16)+O9</f>
        <v>635</v>
      </c>
      <c r="AA16" s="15"/>
      <c r="AM16" s="15"/>
    </row>
    <row r="17" spans="2:75" x14ac:dyDescent="0.15">
      <c r="B17" s="16" t="s">
        <v>2</v>
      </c>
      <c r="C17" s="4">
        <v>19</v>
      </c>
      <c r="D17" s="4">
        <v>32</v>
      </c>
      <c r="E17" s="4">
        <v>37</v>
      </c>
      <c r="F17" s="4">
        <v>33</v>
      </c>
      <c r="G17" s="4">
        <v>24</v>
      </c>
      <c r="H17" s="4">
        <v>40</v>
      </c>
      <c r="I17" s="4">
        <v>21</v>
      </c>
      <c r="J17" s="4">
        <v>28</v>
      </c>
      <c r="K17" s="4">
        <v>30</v>
      </c>
      <c r="L17" s="4">
        <v>24</v>
      </c>
      <c r="M17" s="4">
        <v>8</v>
      </c>
      <c r="N17" s="3">
        <v>33</v>
      </c>
      <c r="O17" s="9">
        <f t="shared" ref="O17:O19" si="11">SUM(C17:N17)+O10</f>
        <v>486</v>
      </c>
      <c r="AA17" s="15"/>
      <c r="AM17" s="15"/>
    </row>
    <row r="18" spans="2:75" x14ac:dyDescent="0.15">
      <c r="B18" s="16" t="s">
        <v>1</v>
      </c>
      <c r="C18" s="4">
        <v>4</v>
      </c>
      <c r="D18" s="4">
        <v>7</v>
      </c>
      <c r="E18" s="4">
        <v>7</v>
      </c>
      <c r="F18" s="4">
        <v>20</v>
      </c>
      <c r="G18" s="4">
        <v>20</v>
      </c>
      <c r="H18" s="4">
        <v>12</v>
      </c>
      <c r="I18" s="4">
        <v>9</v>
      </c>
      <c r="J18" s="4">
        <v>10</v>
      </c>
      <c r="K18" s="4">
        <v>8</v>
      </c>
      <c r="L18" s="4">
        <v>11</v>
      </c>
      <c r="M18" s="4">
        <v>6</v>
      </c>
      <c r="N18" s="3">
        <v>7</v>
      </c>
      <c r="O18" s="9">
        <f t="shared" si="11"/>
        <v>191</v>
      </c>
      <c r="AA18" s="15"/>
      <c r="AM18" s="15"/>
    </row>
    <row r="19" spans="2:75" ht="16.5" thickBot="1" x14ac:dyDescent="0.2">
      <c r="B19" s="17" t="s">
        <v>0</v>
      </c>
      <c r="C19" s="10">
        <v>36</v>
      </c>
      <c r="D19" s="10">
        <v>32</v>
      </c>
      <c r="E19" s="10">
        <v>48</v>
      </c>
      <c r="F19" s="10">
        <v>42</v>
      </c>
      <c r="G19" s="10">
        <v>42</v>
      </c>
      <c r="H19" s="10">
        <v>40</v>
      </c>
      <c r="I19" s="10">
        <v>26</v>
      </c>
      <c r="J19" s="10">
        <v>43</v>
      </c>
      <c r="K19" s="10">
        <v>38</v>
      </c>
      <c r="L19" s="10">
        <v>61</v>
      </c>
      <c r="M19" s="10">
        <v>32</v>
      </c>
      <c r="N19" s="11">
        <v>32</v>
      </c>
      <c r="O19" s="12">
        <f t="shared" si="11"/>
        <v>751</v>
      </c>
      <c r="AA19" s="15"/>
      <c r="AM19" s="15"/>
    </row>
    <row r="20" spans="2:75" ht="6.75" customHeight="1" x14ac:dyDescent="0.15">
      <c r="O20" s="15"/>
      <c r="AA20" s="15"/>
      <c r="AM20" s="15"/>
    </row>
    <row r="21" spans="2:75" ht="29.25" customHeight="1" thickBot="1" x14ac:dyDescent="0.2">
      <c r="B21" s="39" t="s">
        <v>23</v>
      </c>
      <c r="C21" s="6"/>
      <c r="D21" s="30"/>
      <c r="E21" s="30"/>
      <c r="F21" s="30"/>
      <c r="G21" s="6"/>
      <c r="H21" s="31"/>
      <c r="I21" s="6"/>
      <c r="J21" s="31"/>
      <c r="K21" s="31"/>
      <c r="L21" s="31"/>
      <c r="M21" s="31"/>
      <c r="N21" s="32"/>
      <c r="O21" s="3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4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5"/>
    </row>
    <row r="22" spans="2:75" s="5" customFormat="1" x14ac:dyDescent="0.15">
      <c r="B22" s="13"/>
      <c r="C22" s="35" t="s">
        <v>21</v>
      </c>
      <c r="D22" s="35" t="s">
        <v>6</v>
      </c>
      <c r="E22" s="35" t="s">
        <v>7</v>
      </c>
      <c r="F22" s="35" t="s">
        <v>8</v>
      </c>
      <c r="G22" s="35" t="s">
        <v>9</v>
      </c>
      <c r="H22" s="35" t="s">
        <v>10</v>
      </c>
      <c r="I22" s="35" t="s">
        <v>11</v>
      </c>
      <c r="J22" s="35" t="s">
        <v>12</v>
      </c>
      <c r="K22" s="35" t="s">
        <v>13</v>
      </c>
      <c r="L22" s="35" t="s">
        <v>14</v>
      </c>
      <c r="M22" s="35" t="s">
        <v>18</v>
      </c>
      <c r="N22" s="35" t="s">
        <v>16</v>
      </c>
      <c r="O22" s="14" t="s">
        <v>15</v>
      </c>
      <c r="AA22" s="25"/>
      <c r="AM22" s="25"/>
    </row>
    <row r="23" spans="2:75" x14ac:dyDescent="0.15">
      <c r="B23" s="16" t="s">
        <v>3</v>
      </c>
      <c r="C23" s="3">
        <v>33</v>
      </c>
      <c r="D23" s="4">
        <v>26</v>
      </c>
      <c r="E23" s="4">
        <v>43</v>
      </c>
      <c r="F23" s="4">
        <v>35</v>
      </c>
      <c r="G23" s="4">
        <v>46</v>
      </c>
      <c r="H23" s="4">
        <v>19</v>
      </c>
      <c r="I23" s="4">
        <v>40</v>
      </c>
      <c r="J23" s="4">
        <v>19</v>
      </c>
      <c r="K23" s="4">
        <v>37</v>
      </c>
      <c r="L23" s="4">
        <v>40</v>
      </c>
      <c r="M23" s="4">
        <v>37</v>
      </c>
      <c r="N23" s="3">
        <v>29</v>
      </c>
      <c r="O23" s="9">
        <f>SUM(C23:N23)+O16</f>
        <v>1039</v>
      </c>
      <c r="AA23" s="15"/>
      <c r="AM23" s="15"/>
    </row>
    <row r="24" spans="2:75" x14ac:dyDescent="0.15">
      <c r="B24" s="16" t="s">
        <v>2</v>
      </c>
      <c r="C24" s="3">
        <v>27</v>
      </c>
      <c r="D24" s="4">
        <v>22</v>
      </c>
      <c r="E24" s="4">
        <v>42</v>
      </c>
      <c r="F24" s="4">
        <v>26</v>
      </c>
      <c r="G24" s="4">
        <v>47</v>
      </c>
      <c r="H24" s="4">
        <v>17</v>
      </c>
      <c r="I24" s="4">
        <v>40</v>
      </c>
      <c r="J24" s="4">
        <v>26</v>
      </c>
      <c r="K24" s="4">
        <v>38</v>
      </c>
      <c r="L24" s="4">
        <v>47</v>
      </c>
      <c r="M24" s="4">
        <v>15</v>
      </c>
      <c r="N24" s="3">
        <v>24</v>
      </c>
      <c r="O24" s="9">
        <f>SUM(C24:N24)+O17</f>
        <v>857</v>
      </c>
      <c r="AA24" s="15"/>
      <c r="AM24" s="15"/>
    </row>
    <row r="25" spans="2:75" x14ac:dyDescent="0.15">
      <c r="B25" s="16" t="s">
        <v>1</v>
      </c>
      <c r="C25" s="3">
        <v>6</v>
      </c>
      <c r="D25" s="4">
        <v>12</v>
      </c>
      <c r="E25" s="4">
        <v>10</v>
      </c>
      <c r="F25" s="4">
        <v>4</v>
      </c>
      <c r="G25" s="4">
        <v>5</v>
      </c>
      <c r="H25" s="4">
        <v>7</v>
      </c>
      <c r="I25" s="4">
        <v>15</v>
      </c>
      <c r="J25" s="4">
        <v>7</v>
      </c>
      <c r="K25" s="4">
        <v>7</v>
      </c>
      <c r="L25" s="4">
        <v>12</v>
      </c>
      <c r="M25" s="4">
        <v>14</v>
      </c>
      <c r="N25" s="3">
        <v>12</v>
      </c>
      <c r="O25" s="9">
        <f>SUM(C25:N25)+O18</f>
        <v>302</v>
      </c>
      <c r="AA25" s="15"/>
      <c r="AM25" s="15"/>
    </row>
    <row r="26" spans="2:75" ht="16.5" thickBot="1" x14ac:dyDescent="0.2">
      <c r="B26" s="17" t="s">
        <v>0</v>
      </c>
      <c r="C26" s="11">
        <v>34</v>
      </c>
      <c r="D26" s="10">
        <v>33</v>
      </c>
      <c r="E26" s="36">
        <v>46</v>
      </c>
      <c r="F26" s="10">
        <v>24</v>
      </c>
      <c r="G26" s="10">
        <v>31</v>
      </c>
      <c r="H26" s="10">
        <v>19</v>
      </c>
      <c r="I26" s="10">
        <v>42</v>
      </c>
      <c r="J26" s="10">
        <v>52</v>
      </c>
      <c r="K26" s="10">
        <v>37</v>
      </c>
      <c r="L26" s="10">
        <v>35</v>
      </c>
      <c r="M26" s="10">
        <v>27</v>
      </c>
      <c r="N26" s="11">
        <v>28</v>
      </c>
      <c r="O26" s="12">
        <f>SUM(C26:N26)+O19</f>
        <v>1159</v>
      </c>
      <c r="AA26" s="15"/>
      <c r="AM26" s="15"/>
    </row>
    <row r="27" spans="2:75" s="28" customFormat="1" ht="15" customHeight="1" x14ac:dyDescent="0.1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AA27" s="29"/>
      <c r="AM27" s="29"/>
    </row>
    <row r="28" spans="2:75" ht="29.25" customHeight="1" thickBot="1" x14ac:dyDescent="0.2">
      <c r="B28" s="19" t="s">
        <v>29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AA28" s="1"/>
      <c r="AM28" s="1"/>
      <c r="BW28" s="15"/>
    </row>
    <row r="29" spans="2:75" s="5" customFormat="1" x14ac:dyDescent="0.15">
      <c r="B29" s="13"/>
      <c r="C29" s="35" t="s">
        <v>21</v>
      </c>
      <c r="D29" s="35" t="s">
        <v>6</v>
      </c>
      <c r="E29" s="35" t="s">
        <v>7</v>
      </c>
      <c r="F29" s="35" t="s">
        <v>8</v>
      </c>
      <c r="G29" s="35" t="s">
        <v>9</v>
      </c>
      <c r="H29" s="35" t="s">
        <v>10</v>
      </c>
      <c r="I29" s="35" t="s">
        <v>11</v>
      </c>
      <c r="J29" s="35" t="s">
        <v>12</v>
      </c>
      <c r="K29" s="35" t="s">
        <v>13</v>
      </c>
      <c r="L29" s="35" t="s">
        <v>14</v>
      </c>
      <c r="M29" s="35" t="s">
        <v>18</v>
      </c>
      <c r="N29" s="35" t="s">
        <v>16</v>
      </c>
      <c r="O29" s="14" t="s">
        <v>15</v>
      </c>
      <c r="AA29" s="25"/>
      <c r="AM29" s="25"/>
    </row>
    <row r="30" spans="2:75" x14ac:dyDescent="0.15">
      <c r="B30" s="16" t="s">
        <v>3</v>
      </c>
      <c r="C30" s="4">
        <v>13</v>
      </c>
      <c r="D30" s="4">
        <v>16</v>
      </c>
      <c r="E30" s="4">
        <v>20</v>
      </c>
      <c r="F30" s="4">
        <v>22</v>
      </c>
      <c r="G30" s="4">
        <v>33</v>
      </c>
      <c r="H30" s="4">
        <v>35</v>
      </c>
      <c r="I30" s="4">
        <v>45</v>
      </c>
      <c r="J30" s="4">
        <v>27</v>
      </c>
      <c r="K30" s="4">
        <v>22</v>
      </c>
      <c r="L30" s="4">
        <v>33</v>
      </c>
      <c r="M30" s="4">
        <v>29</v>
      </c>
      <c r="N30" s="3">
        <v>29</v>
      </c>
      <c r="O30" s="9">
        <f>SUM(C30:N30)+O23</f>
        <v>1363</v>
      </c>
      <c r="AA30" s="15"/>
      <c r="AM30" s="15"/>
    </row>
    <row r="31" spans="2:75" x14ac:dyDescent="0.15">
      <c r="B31" s="16" t="s">
        <v>2</v>
      </c>
      <c r="C31" s="4">
        <v>11</v>
      </c>
      <c r="D31" s="4">
        <v>26</v>
      </c>
      <c r="E31" s="4">
        <v>15</v>
      </c>
      <c r="F31" s="4">
        <v>12</v>
      </c>
      <c r="G31" s="4">
        <v>33</v>
      </c>
      <c r="H31" s="4">
        <v>33</v>
      </c>
      <c r="I31" s="4">
        <v>47</v>
      </c>
      <c r="J31" s="4">
        <v>42</v>
      </c>
      <c r="K31" s="4">
        <v>31</v>
      </c>
      <c r="L31" s="4">
        <v>20</v>
      </c>
      <c r="M31" s="4">
        <v>28</v>
      </c>
      <c r="N31" s="3">
        <v>27</v>
      </c>
      <c r="O31" s="9">
        <f t="shared" ref="O31:O33" si="12">SUM(C31:N31)+O24</f>
        <v>1182</v>
      </c>
      <c r="AA31" s="15"/>
      <c r="AM31" s="15"/>
    </row>
    <row r="32" spans="2:75" x14ac:dyDescent="0.15">
      <c r="B32" s="16" t="s">
        <v>1</v>
      </c>
      <c r="C32" s="4">
        <v>12</v>
      </c>
      <c r="D32" s="4">
        <v>6</v>
      </c>
      <c r="E32" s="4">
        <v>1</v>
      </c>
      <c r="F32" s="4">
        <v>6</v>
      </c>
      <c r="G32" s="4">
        <v>5</v>
      </c>
      <c r="H32" s="4">
        <v>3</v>
      </c>
      <c r="I32" s="4">
        <v>10</v>
      </c>
      <c r="J32" s="4">
        <v>3</v>
      </c>
      <c r="K32" s="4">
        <v>12</v>
      </c>
      <c r="L32" s="4">
        <v>3</v>
      </c>
      <c r="M32" s="4">
        <v>3</v>
      </c>
      <c r="N32" s="3">
        <v>4</v>
      </c>
      <c r="O32" s="9">
        <f t="shared" si="12"/>
        <v>370</v>
      </c>
      <c r="AA32" s="15"/>
      <c r="AM32" s="15"/>
    </row>
    <row r="33" spans="2:75" ht="16.5" thickBot="1" x14ac:dyDescent="0.2">
      <c r="B33" s="17" t="s">
        <v>0</v>
      </c>
      <c r="C33" s="10">
        <v>24</v>
      </c>
      <c r="D33" s="10">
        <v>15</v>
      </c>
      <c r="E33" s="10">
        <v>13</v>
      </c>
      <c r="F33" s="10">
        <v>21</v>
      </c>
      <c r="G33" s="10">
        <v>27</v>
      </c>
      <c r="H33" s="10">
        <v>19</v>
      </c>
      <c r="I33" s="10">
        <v>61</v>
      </c>
      <c r="J33" s="10">
        <v>41</v>
      </c>
      <c r="K33" s="10">
        <v>18</v>
      </c>
      <c r="L33" s="10">
        <v>24</v>
      </c>
      <c r="M33" s="10">
        <v>17</v>
      </c>
      <c r="N33" s="11">
        <v>25</v>
      </c>
      <c r="O33" s="9">
        <f t="shared" si="12"/>
        <v>1464</v>
      </c>
      <c r="AA33" s="15"/>
      <c r="AM33" s="15"/>
    </row>
    <row r="34" spans="2:75" s="28" customFormat="1" ht="15" customHeight="1" x14ac:dyDescent="0.15">
      <c r="B34" s="26"/>
      <c r="F34" s="26"/>
      <c r="G34" s="26"/>
      <c r="H34" s="26"/>
      <c r="I34" s="26"/>
      <c r="J34" s="26"/>
      <c r="K34" s="26"/>
      <c r="M34" s="26"/>
      <c r="N34" s="26"/>
      <c r="O34" s="27"/>
      <c r="AA34" s="29"/>
      <c r="AM34" s="29"/>
    </row>
    <row r="35" spans="2:75" ht="29.25" customHeight="1" thickBot="1" x14ac:dyDescent="0.2">
      <c r="B35" s="19" t="s">
        <v>30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8"/>
      <c r="AA35" s="1"/>
      <c r="AM35" s="1"/>
      <c r="BW35" s="15"/>
    </row>
    <row r="36" spans="2:75" s="5" customFormat="1" x14ac:dyDescent="0.15">
      <c r="B36" s="13"/>
      <c r="C36" s="35" t="s">
        <v>21</v>
      </c>
      <c r="D36" s="35" t="s">
        <v>6</v>
      </c>
      <c r="E36" s="35" t="s">
        <v>7</v>
      </c>
      <c r="F36" s="35" t="s">
        <v>8</v>
      </c>
      <c r="G36" s="35" t="s">
        <v>9</v>
      </c>
      <c r="H36" s="35" t="s">
        <v>10</v>
      </c>
      <c r="I36" s="35" t="s">
        <v>11</v>
      </c>
      <c r="J36" s="35" t="s">
        <v>12</v>
      </c>
      <c r="K36" s="35" t="s">
        <v>13</v>
      </c>
      <c r="L36" s="35" t="s">
        <v>14</v>
      </c>
      <c r="M36" s="35" t="s">
        <v>18</v>
      </c>
      <c r="N36" s="35" t="s">
        <v>16</v>
      </c>
      <c r="O36" s="14" t="s">
        <v>15</v>
      </c>
      <c r="AA36" s="25"/>
      <c r="AM36" s="25"/>
    </row>
    <row r="37" spans="2:75" x14ac:dyDescent="0.15">
      <c r="B37" s="16" t="s">
        <v>3</v>
      </c>
      <c r="C37" s="4">
        <v>30</v>
      </c>
      <c r="D37" s="4">
        <v>32</v>
      </c>
      <c r="E37" s="4">
        <v>29</v>
      </c>
      <c r="F37" s="4">
        <v>48</v>
      </c>
      <c r="G37" s="4">
        <v>39</v>
      </c>
      <c r="H37" s="4">
        <v>39</v>
      </c>
      <c r="I37" s="4">
        <v>41</v>
      </c>
      <c r="J37" s="4">
        <v>30</v>
      </c>
      <c r="K37" s="4">
        <v>38</v>
      </c>
      <c r="L37" s="4">
        <v>30</v>
      </c>
      <c r="M37" s="4">
        <v>23</v>
      </c>
      <c r="N37" s="3">
        <v>25</v>
      </c>
      <c r="O37" s="9">
        <f>SUM(C37:N37)+O30</f>
        <v>1767</v>
      </c>
      <c r="AA37" s="15"/>
      <c r="AM37" s="15"/>
    </row>
    <row r="38" spans="2:75" x14ac:dyDescent="0.15">
      <c r="B38" s="16" t="s">
        <v>2</v>
      </c>
      <c r="C38" s="4">
        <v>26</v>
      </c>
      <c r="D38" s="4">
        <v>31</v>
      </c>
      <c r="E38" s="4">
        <v>21</v>
      </c>
      <c r="F38" s="4">
        <v>47</v>
      </c>
      <c r="G38" s="4">
        <v>30</v>
      </c>
      <c r="H38" s="4">
        <v>38</v>
      </c>
      <c r="I38" s="4">
        <v>37</v>
      </c>
      <c r="J38" s="4">
        <v>33</v>
      </c>
      <c r="K38" s="4">
        <v>27</v>
      </c>
      <c r="L38" s="4">
        <v>27</v>
      </c>
      <c r="M38" s="4">
        <v>22</v>
      </c>
      <c r="N38" s="3">
        <v>22</v>
      </c>
      <c r="O38" s="9">
        <f t="shared" ref="O38:O40" si="13">SUM(C38:N38)+O31</f>
        <v>1543</v>
      </c>
      <c r="AA38" s="15"/>
      <c r="AM38" s="15"/>
    </row>
    <row r="39" spans="2:75" x14ac:dyDescent="0.15">
      <c r="B39" s="16" t="s">
        <v>1</v>
      </c>
      <c r="C39" s="4">
        <v>8</v>
      </c>
      <c r="D39" s="4">
        <v>3</v>
      </c>
      <c r="E39" s="4">
        <v>1</v>
      </c>
      <c r="F39" s="4">
        <v>4</v>
      </c>
      <c r="G39" s="4">
        <v>7</v>
      </c>
      <c r="H39" s="4">
        <v>7</v>
      </c>
      <c r="I39" s="4">
        <v>6</v>
      </c>
      <c r="J39" s="4">
        <v>6</v>
      </c>
      <c r="K39" s="4">
        <v>2</v>
      </c>
      <c r="L39" s="4">
        <v>3</v>
      </c>
      <c r="M39" s="4">
        <v>6</v>
      </c>
      <c r="N39" s="3">
        <v>5</v>
      </c>
      <c r="O39" s="9">
        <f t="shared" si="13"/>
        <v>428</v>
      </c>
      <c r="AA39" s="15"/>
      <c r="AM39" s="15"/>
    </row>
    <row r="40" spans="2:75" ht="16.5" thickBot="1" x14ac:dyDescent="0.2">
      <c r="B40" s="17" t="s">
        <v>0</v>
      </c>
      <c r="C40" s="10">
        <v>38</v>
      </c>
      <c r="D40" s="10">
        <v>27</v>
      </c>
      <c r="E40" s="10">
        <v>13</v>
      </c>
      <c r="F40" s="10">
        <v>48</v>
      </c>
      <c r="G40" s="10">
        <v>31</v>
      </c>
      <c r="H40" s="10">
        <v>18</v>
      </c>
      <c r="I40" s="10">
        <v>23</v>
      </c>
      <c r="J40" s="10">
        <v>27</v>
      </c>
      <c r="K40" s="10">
        <v>20</v>
      </c>
      <c r="L40" s="10">
        <v>23</v>
      </c>
      <c r="M40" s="10">
        <v>18</v>
      </c>
      <c r="N40" s="11">
        <v>11</v>
      </c>
      <c r="O40" s="9">
        <f t="shared" si="13"/>
        <v>1761</v>
      </c>
      <c r="AA40" s="15"/>
      <c r="AM40" s="15"/>
    </row>
    <row r="41" spans="2:75" s="28" customFormat="1" ht="15" customHeight="1" x14ac:dyDescent="0.15">
      <c r="B41" s="26"/>
      <c r="C41" s="26"/>
      <c r="D41" s="26"/>
      <c r="E41" s="26"/>
      <c r="F41" s="26"/>
      <c r="G41" s="26"/>
      <c r="H41" s="26"/>
      <c r="I41" s="26"/>
      <c r="J41" s="26"/>
      <c r="K41" s="26"/>
      <c r="N41" s="26"/>
      <c r="O41" s="27"/>
      <c r="AA41" s="29"/>
      <c r="AM41" s="29"/>
    </row>
    <row r="42" spans="2:75" ht="29.25" customHeight="1" thickBot="1" x14ac:dyDescent="0.2">
      <c r="B42" s="19" t="s">
        <v>31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8"/>
      <c r="AA42" s="1"/>
      <c r="AM42" s="1"/>
      <c r="BW42" s="15"/>
    </row>
    <row r="43" spans="2:75" s="5" customFormat="1" ht="19.5" customHeight="1" x14ac:dyDescent="0.15">
      <c r="B43" s="13"/>
      <c r="C43" s="35" t="s">
        <v>21</v>
      </c>
      <c r="D43" s="35" t="s">
        <v>6</v>
      </c>
      <c r="E43" s="35" t="s">
        <v>7</v>
      </c>
      <c r="F43" s="35" t="s">
        <v>8</v>
      </c>
      <c r="G43" s="35" t="s">
        <v>9</v>
      </c>
      <c r="H43" s="35" t="s">
        <v>10</v>
      </c>
      <c r="I43" s="35" t="s">
        <v>11</v>
      </c>
      <c r="J43" s="35" t="s">
        <v>12</v>
      </c>
      <c r="K43" s="35" t="s">
        <v>13</v>
      </c>
      <c r="L43" s="35" t="s">
        <v>14</v>
      </c>
      <c r="M43" s="35" t="s">
        <v>18</v>
      </c>
      <c r="N43" s="35" t="s">
        <v>16</v>
      </c>
      <c r="O43" s="14" t="s">
        <v>15</v>
      </c>
      <c r="AA43" s="25"/>
      <c r="AM43" s="25"/>
    </row>
    <row r="44" spans="2:75" ht="19.5" customHeight="1" x14ac:dyDescent="0.15">
      <c r="B44" s="16" t="s">
        <v>3</v>
      </c>
      <c r="C44" s="4">
        <v>31</v>
      </c>
      <c r="D44" s="4">
        <v>28</v>
      </c>
      <c r="E44" s="4">
        <v>33</v>
      </c>
      <c r="F44" s="4">
        <v>38</v>
      </c>
      <c r="G44" s="4">
        <v>30</v>
      </c>
      <c r="H44" s="4">
        <v>26</v>
      </c>
      <c r="I44" s="4">
        <v>28</v>
      </c>
      <c r="J44" s="4">
        <v>39</v>
      </c>
      <c r="K44" s="4">
        <v>34</v>
      </c>
      <c r="L44" s="4">
        <v>18</v>
      </c>
      <c r="M44" s="4">
        <v>25</v>
      </c>
      <c r="N44" s="3">
        <v>21</v>
      </c>
      <c r="O44" s="9">
        <f>SUM(C44:N44)</f>
        <v>351</v>
      </c>
      <c r="AA44" s="15"/>
      <c r="AM44" s="15"/>
    </row>
    <row r="45" spans="2:75" ht="19.5" customHeight="1" x14ac:dyDescent="0.15">
      <c r="B45" s="16" t="s">
        <v>2</v>
      </c>
      <c r="C45" s="4">
        <v>26</v>
      </c>
      <c r="D45" s="4">
        <v>33</v>
      </c>
      <c r="E45" s="4">
        <v>31</v>
      </c>
      <c r="F45" s="4">
        <v>28</v>
      </c>
      <c r="G45" s="4">
        <v>35</v>
      </c>
      <c r="H45" s="4">
        <v>23</v>
      </c>
      <c r="I45" s="4">
        <v>26</v>
      </c>
      <c r="J45" s="4">
        <v>35</v>
      </c>
      <c r="K45" s="4">
        <v>21</v>
      </c>
      <c r="L45" s="4">
        <v>20</v>
      </c>
      <c r="M45" s="4">
        <v>19</v>
      </c>
      <c r="N45" s="3">
        <v>27</v>
      </c>
      <c r="O45" s="9">
        <f t="shared" ref="O45:O47" si="14">SUM(C45:N45)</f>
        <v>324</v>
      </c>
      <c r="AA45" s="15"/>
      <c r="AM45" s="15"/>
    </row>
    <row r="46" spans="2:75" ht="19.5" customHeight="1" x14ac:dyDescent="0.15">
      <c r="B46" s="16" t="s">
        <v>28</v>
      </c>
      <c r="C46" s="4"/>
      <c r="D46" s="4"/>
      <c r="E46" s="4"/>
      <c r="F46" s="4"/>
      <c r="G46" s="4"/>
      <c r="H46" s="4"/>
      <c r="I46" s="4"/>
      <c r="J46" s="4"/>
      <c r="K46" s="4">
        <v>6</v>
      </c>
      <c r="L46" s="4">
        <v>3</v>
      </c>
      <c r="M46" s="4">
        <v>4</v>
      </c>
      <c r="N46" s="3">
        <v>5</v>
      </c>
      <c r="O46" s="9">
        <f t="shared" si="14"/>
        <v>18</v>
      </c>
      <c r="AA46" s="15"/>
      <c r="AM46" s="15"/>
    </row>
    <row r="47" spans="2:75" ht="19.5" customHeight="1" x14ac:dyDescent="0.15">
      <c r="B47" s="16" t="s">
        <v>1</v>
      </c>
      <c r="C47" s="4">
        <v>9</v>
      </c>
      <c r="D47" s="4">
        <v>6</v>
      </c>
      <c r="E47" s="4">
        <v>8</v>
      </c>
      <c r="F47" s="4">
        <v>3</v>
      </c>
      <c r="G47" s="4">
        <v>3</v>
      </c>
      <c r="H47" s="4">
        <v>3</v>
      </c>
      <c r="I47" s="4">
        <v>9</v>
      </c>
      <c r="J47" s="4">
        <v>5</v>
      </c>
      <c r="K47" s="4">
        <v>3</v>
      </c>
      <c r="L47" s="4"/>
      <c r="M47" s="4">
        <v>7</v>
      </c>
      <c r="N47" s="3">
        <v>1</v>
      </c>
      <c r="O47" s="9">
        <f t="shared" si="14"/>
        <v>57</v>
      </c>
      <c r="AA47" s="15"/>
      <c r="AM47" s="15"/>
    </row>
    <row r="48" spans="2:75" ht="19.5" customHeight="1" thickBot="1" x14ac:dyDescent="0.2">
      <c r="B48" s="17" t="s">
        <v>0</v>
      </c>
      <c r="C48" s="10">
        <v>20</v>
      </c>
      <c r="D48" s="10">
        <v>19</v>
      </c>
      <c r="E48" s="10">
        <v>10</v>
      </c>
      <c r="F48" s="10">
        <v>6</v>
      </c>
      <c r="G48" s="10">
        <v>14</v>
      </c>
      <c r="H48" s="10">
        <v>14</v>
      </c>
      <c r="I48" s="10">
        <v>9</v>
      </c>
      <c r="J48" s="10">
        <v>11</v>
      </c>
      <c r="K48" s="10">
        <v>15</v>
      </c>
      <c r="L48" s="10">
        <v>5</v>
      </c>
      <c r="M48" s="10">
        <v>22</v>
      </c>
      <c r="N48" s="11">
        <v>30</v>
      </c>
      <c r="O48" s="9">
        <f>SUM(C48:N48)+O40</f>
        <v>1936</v>
      </c>
      <c r="AA48" s="15"/>
      <c r="AM48" s="15"/>
    </row>
    <row r="49" spans="2:75" s="28" customFormat="1" ht="19.5" customHeight="1" x14ac:dyDescent="0.15">
      <c r="B49" s="26"/>
      <c r="C49" s="26"/>
      <c r="D49" s="26"/>
      <c r="E49" s="26"/>
      <c r="F49" s="26"/>
      <c r="G49" s="43"/>
      <c r="H49" s="26"/>
      <c r="I49" s="26"/>
      <c r="J49" s="26"/>
      <c r="K49" s="26"/>
      <c r="O49" s="27"/>
      <c r="AA49" s="29"/>
      <c r="AM49" s="29"/>
    </row>
    <row r="51" spans="2:75" ht="29.25" customHeight="1" thickBot="1" x14ac:dyDescent="0.2">
      <c r="B51" s="19" t="s">
        <v>33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8"/>
      <c r="AA51" s="1"/>
      <c r="AM51" s="1"/>
      <c r="BW51" s="15"/>
    </row>
    <row r="52" spans="2:75" s="5" customFormat="1" ht="19.5" customHeight="1" x14ac:dyDescent="0.15">
      <c r="B52" s="13"/>
      <c r="C52" s="35" t="s">
        <v>21</v>
      </c>
      <c r="D52" s="35" t="s">
        <v>6</v>
      </c>
      <c r="E52" s="35" t="s">
        <v>7</v>
      </c>
      <c r="F52" s="35" t="s">
        <v>8</v>
      </c>
      <c r="G52" s="35" t="s">
        <v>9</v>
      </c>
      <c r="H52" s="35" t="s">
        <v>10</v>
      </c>
      <c r="I52" s="35" t="s">
        <v>11</v>
      </c>
      <c r="J52" s="35" t="s">
        <v>12</v>
      </c>
      <c r="K52" s="35" t="s">
        <v>13</v>
      </c>
      <c r="L52" s="35" t="s">
        <v>14</v>
      </c>
      <c r="M52" s="35" t="s">
        <v>18</v>
      </c>
      <c r="N52" s="35" t="s">
        <v>16</v>
      </c>
      <c r="O52" s="14" t="s">
        <v>15</v>
      </c>
      <c r="AA52" s="25"/>
      <c r="AM52" s="25"/>
    </row>
    <row r="53" spans="2:75" ht="19.5" customHeight="1" x14ac:dyDescent="0.15">
      <c r="B53" s="16" t="s">
        <v>3</v>
      </c>
      <c r="C53" s="4">
        <v>28</v>
      </c>
      <c r="D53" s="4">
        <v>33</v>
      </c>
      <c r="E53" s="4">
        <v>15</v>
      </c>
      <c r="F53" s="4">
        <v>23</v>
      </c>
      <c r="G53" s="4">
        <v>34</v>
      </c>
      <c r="H53" s="4">
        <v>31</v>
      </c>
      <c r="I53" s="4">
        <v>36</v>
      </c>
      <c r="J53" s="4">
        <v>34</v>
      </c>
      <c r="K53" s="4">
        <v>34</v>
      </c>
      <c r="L53" s="4">
        <v>31</v>
      </c>
      <c r="M53" s="4">
        <v>24</v>
      </c>
      <c r="N53" s="3">
        <v>39</v>
      </c>
      <c r="O53" s="9">
        <f>SUM(C53:N53)</f>
        <v>362</v>
      </c>
      <c r="AA53" s="15"/>
      <c r="AM53" s="15"/>
    </row>
    <row r="54" spans="2:75" ht="19.5" customHeight="1" x14ac:dyDescent="0.15">
      <c r="B54" s="16" t="s">
        <v>2</v>
      </c>
      <c r="C54" s="4">
        <v>34</v>
      </c>
      <c r="D54" s="4">
        <v>31</v>
      </c>
      <c r="E54" s="4">
        <v>15</v>
      </c>
      <c r="F54" s="4">
        <v>28</v>
      </c>
      <c r="G54" s="4">
        <v>35</v>
      </c>
      <c r="H54" s="4">
        <v>30</v>
      </c>
      <c r="I54" s="4">
        <v>34</v>
      </c>
      <c r="J54" s="4">
        <v>42</v>
      </c>
      <c r="K54" s="4">
        <v>28</v>
      </c>
      <c r="L54" s="4">
        <v>39</v>
      </c>
      <c r="M54" s="4">
        <v>22</v>
      </c>
      <c r="N54" s="3">
        <v>40</v>
      </c>
      <c r="O54" s="9">
        <f t="shared" ref="O54:O57" si="15">SUM(C54:N54)</f>
        <v>378</v>
      </c>
      <c r="AA54" s="15"/>
      <c r="AM54" s="15"/>
    </row>
    <row r="55" spans="2:75" ht="19.5" customHeight="1" x14ac:dyDescent="0.15">
      <c r="B55" s="16" t="s">
        <v>28</v>
      </c>
      <c r="C55" s="4">
        <v>5</v>
      </c>
      <c r="D55" s="4">
        <v>6</v>
      </c>
      <c r="E55" s="4">
        <v>7</v>
      </c>
      <c r="F55" s="4">
        <v>5</v>
      </c>
      <c r="G55" s="4">
        <v>7</v>
      </c>
      <c r="H55" s="4">
        <v>4</v>
      </c>
      <c r="I55" s="4">
        <v>7</v>
      </c>
      <c r="J55" s="4">
        <v>4</v>
      </c>
      <c r="K55" s="4">
        <v>5</v>
      </c>
      <c r="L55" s="4">
        <v>1</v>
      </c>
      <c r="M55" s="4">
        <v>5</v>
      </c>
      <c r="N55" s="3">
        <v>10</v>
      </c>
      <c r="O55" s="9">
        <f t="shared" si="15"/>
        <v>66</v>
      </c>
      <c r="AA55" s="15"/>
      <c r="AM55" s="15"/>
    </row>
    <row r="56" spans="2:75" ht="19.5" customHeight="1" x14ac:dyDescent="0.15">
      <c r="B56" s="16" t="s">
        <v>1</v>
      </c>
      <c r="C56" s="4">
        <v>1</v>
      </c>
      <c r="D56" s="4">
        <v>4</v>
      </c>
      <c r="E56" s="4">
        <v>7</v>
      </c>
      <c r="F56" s="4">
        <v>5</v>
      </c>
      <c r="G56" s="4">
        <v>4</v>
      </c>
      <c r="H56" s="4">
        <v>1</v>
      </c>
      <c r="I56" s="4">
        <v>5</v>
      </c>
      <c r="J56" s="4">
        <v>5</v>
      </c>
      <c r="K56" s="4">
        <v>4</v>
      </c>
      <c r="L56" s="4">
        <v>5</v>
      </c>
      <c r="M56" s="4">
        <v>4</v>
      </c>
      <c r="N56" s="3">
        <v>1</v>
      </c>
      <c r="O56" s="9">
        <f t="shared" si="15"/>
        <v>46</v>
      </c>
      <c r="AA56" s="15"/>
      <c r="AM56" s="15"/>
    </row>
    <row r="57" spans="2:75" ht="19.5" customHeight="1" x14ac:dyDescent="0.15">
      <c r="B57" s="16" t="s">
        <v>34</v>
      </c>
      <c r="C57" s="4">
        <v>326</v>
      </c>
      <c r="D57" s="4">
        <v>241</v>
      </c>
      <c r="E57" s="4">
        <v>196</v>
      </c>
      <c r="F57" s="4">
        <v>218</v>
      </c>
      <c r="G57" s="4">
        <v>193</v>
      </c>
      <c r="H57" s="4">
        <v>313</v>
      </c>
      <c r="I57" s="4">
        <v>293</v>
      </c>
      <c r="J57" s="4">
        <v>270</v>
      </c>
      <c r="K57" s="4">
        <v>259</v>
      </c>
      <c r="L57" s="4">
        <v>298</v>
      </c>
      <c r="M57" s="4">
        <v>224</v>
      </c>
      <c r="N57" s="3">
        <v>322</v>
      </c>
      <c r="O57" s="9">
        <f t="shared" si="15"/>
        <v>3153</v>
      </c>
      <c r="AA57" s="15"/>
      <c r="AM57" s="15"/>
    </row>
    <row r="58" spans="2:75" ht="19.5" customHeight="1" thickBot="1" x14ac:dyDescent="0.2">
      <c r="B58" s="17" t="s">
        <v>0</v>
      </c>
      <c r="C58" s="10">
        <v>10</v>
      </c>
      <c r="D58" s="10">
        <v>25</v>
      </c>
      <c r="E58" s="10">
        <v>9</v>
      </c>
      <c r="F58" s="10">
        <v>21</v>
      </c>
      <c r="G58" s="10">
        <v>6</v>
      </c>
      <c r="H58" s="10">
        <v>17</v>
      </c>
      <c r="I58" s="10">
        <v>25</v>
      </c>
      <c r="J58" s="10">
        <v>21</v>
      </c>
      <c r="K58" s="10">
        <v>15</v>
      </c>
      <c r="L58" s="10">
        <v>18</v>
      </c>
      <c r="M58" s="10">
        <v>10</v>
      </c>
      <c r="N58" s="11">
        <v>19</v>
      </c>
      <c r="O58" s="9">
        <f>SUM(C58:N58)+O48</f>
        <v>2132</v>
      </c>
      <c r="AA58" s="15"/>
      <c r="AM58" s="15"/>
    </row>
    <row r="59" spans="2:75" s="28" customFormat="1" ht="19.5" customHeight="1" x14ac:dyDescent="0.15">
      <c r="B59" s="26"/>
      <c r="E59" s="26"/>
      <c r="F59" s="26"/>
      <c r="G59" s="43"/>
      <c r="H59" s="26"/>
      <c r="I59" s="26"/>
      <c r="J59" s="26"/>
      <c r="K59" s="26"/>
      <c r="O59" s="27"/>
      <c r="AA59" s="29"/>
      <c r="AM59" s="29"/>
    </row>
    <row r="60" spans="2:75" ht="29.25" customHeight="1" thickBot="1" x14ac:dyDescent="0.2">
      <c r="B60" s="19" t="s">
        <v>35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8"/>
      <c r="AA60" s="1"/>
      <c r="AM60" s="1"/>
      <c r="BW60" s="15"/>
    </row>
    <row r="61" spans="2:75" s="5" customFormat="1" ht="19.5" customHeight="1" x14ac:dyDescent="0.15">
      <c r="B61" s="13"/>
      <c r="C61" s="35" t="s">
        <v>21</v>
      </c>
      <c r="D61" s="35" t="s">
        <v>6</v>
      </c>
      <c r="E61" s="35" t="s">
        <v>7</v>
      </c>
      <c r="F61" s="35" t="s">
        <v>8</v>
      </c>
      <c r="G61" s="35" t="s">
        <v>9</v>
      </c>
      <c r="H61" s="35" t="s">
        <v>10</v>
      </c>
      <c r="I61" s="35" t="s">
        <v>11</v>
      </c>
      <c r="J61" s="35" t="s">
        <v>12</v>
      </c>
      <c r="K61" s="35" t="s">
        <v>13</v>
      </c>
      <c r="L61" s="35" t="s">
        <v>14</v>
      </c>
      <c r="M61" s="35" t="s">
        <v>18</v>
      </c>
      <c r="N61" s="35" t="s">
        <v>16</v>
      </c>
      <c r="O61" s="14" t="s">
        <v>15</v>
      </c>
      <c r="AA61" s="25"/>
      <c r="AM61" s="25"/>
    </row>
    <row r="62" spans="2:75" ht="19.5" customHeight="1" x14ac:dyDescent="0.15">
      <c r="B62" s="16" t="s">
        <v>3</v>
      </c>
      <c r="C62" s="4">
        <v>18</v>
      </c>
      <c r="D62" s="4">
        <v>26</v>
      </c>
      <c r="E62" s="4">
        <v>23</v>
      </c>
      <c r="F62" s="4">
        <v>20</v>
      </c>
      <c r="G62" s="4">
        <v>23</v>
      </c>
      <c r="H62" s="4">
        <v>32</v>
      </c>
      <c r="I62" s="4">
        <v>24</v>
      </c>
      <c r="J62" s="4">
        <v>37</v>
      </c>
      <c r="K62" s="4">
        <v>23</v>
      </c>
      <c r="L62" s="4">
        <v>19</v>
      </c>
      <c r="M62" s="4"/>
      <c r="N62" s="3"/>
      <c r="O62" s="9">
        <f>SUM(C62:N62)</f>
        <v>245</v>
      </c>
      <c r="AA62" s="15"/>
      <c r="AM62" s="15"/>
    </row>
    <row r="63" spans="2:75" ht="19.5" customHeight="1" x14ac:dyDescent="0.15">
      <c r="B63" s="16" t="s">
        <v>2</v>
      </c>
      <c r="C63" s="4">
        <v>19</v>
      </c>
      <c r="D63" s="4">
        <v>27</v>
      </c>
      <c r="E63" s="4">
        <v>23</v>
      </c>
      <c r="F63" s="4">
        <v>26</v>
      </c>
      <c r="G63" s="4">
        <v>29</v>
      </c>
      <c r="H63" s="4">
        <v>31</v>
      </c>
      <c r="I63" s="4">
        <v>21</v>
      </c>
      <c r="J63" s="4">
        <v>30</v>
      </c>
      <c r="K63" s="4">
        <v>19</v>
      </c>
      <c r="L63" s="4">
        <v>14</v>
      </c>
      <c r="M63" s="4"/>
      <c r="N63" s="3"/>
      <c r="O63" s="9">
        <f t="shared" ref="O63:O66" si="16">SUM(C63:N63)</f>
        <v>239</v>
      </c>
      <c r="AA63" s="15"/>
      <c r="AM63" s="15"/>
    </row>
    <row r="64" spans="2:75" ht="19.5" customHeight="1" x14ac:dyDescent="0.15">
      <c r="B64" s="16" t="s">
        <v>28</v>
      </c>
      <c r="C64" s="4">
        <v>7</v>
      </c>
      <c r="D64" s="4">
        <v>5</v>
      </c>
      <c r="E64" s="4">
        <v>4</v>
      </c>
      <c r="F64" s="4">
        <v>2</v>
      </c>
      <c r="G64" s="4">
        <v>1</v>
      </c>
      <c r="H64" s="4">
        <v>5</v>
      </c>
      <c r="I64" s="4">
        <v>7</v>
      </c>
      <c r="J64" s="4">
        <v>14</v>
      </c>
      <c r="K64" s="4">
        <v>3</v>
      </c>
      <c r="L64" s="4">
        <v>3</v>
      </c>
      <c r="M64" s="4"/>
      <c r="N64" s="3"/>
      <c r="O64" s="9">
        <f t="shared" si="16"/>
        <v>51</v>
      </c>
      <c r="AA64" s="15"/>
      <c r="AM64" s="15"/>
    </row>
    <row r="65" spans="2:39" ht="19.5" customHeight="1" x14ac:dyDescent="0.15">
      <c r="B65" s="16" t="s">
        <v>1</v>
      </c>
      <c r="C65" s="4">
        <v>5</v>
      </c>
      <c r="D65" s="4">
        <v>0</v>
      </c>
      <c r="E65" s="4">
        <v>7</v>
      </c>
      <c r="F65" s="4">
        <v>2</v>
      </c>
      <c r="G65" s="4">
        <v>0</v>
      </c>
      <c r="H65" s="4">
        <v>3</v>
      </c>
      <c r="I65" s="4">
        <v>2</v>
      </c>
      <c r="J65" s="4">
        <v>5</v>
      </c>
      <c r="K65" s="4">
        <v>1</v>
      </c>
      <c r="L65" s="4">
        <v>6</v>
      </c>
      <c r="M65" s="4"/>
      <c r="N65" s="3"/>
      <c r="O65" s="9">
        <f t="shared" si="16"/>
        <v>31</v>
      </c>
      <c r="AA65" s="15"/>
      <c r="AM65" s="15"/>
    </row>
    <row r="66" spans="2:39" ht="19.5" customHeight="1" x14ac:dyDescent="0.15">
      <c r="B66" s="16" t="s">
        <v>34</v>
      </c>
      <c r="C66" s="4">
        <v>224</v>
      </c>
      <c r="D66" s="4">
        <v>212</v>
      </c>
      <c r="E66" s="4">
        <v>185</v>
      </c>
      <c r="F66" s="4">
        <v>159</v>
      </c>
      <c r="G66" s="4">
        <v>183</v>
      </c>
      <c r="H66" s="4">
        <v>242</v>
      </c>
      <c r="I66" s="4">
        <v>272</v>
      </c>
      <c r="J66" s="4">
        <v>316</v>
      </c>
      <c r="K66" s="4">
        <v>169</v>
      </c>
      <c r="L66" s="4">
        <v>138</v>
      </c>
      <c r="M66" s="4"/>
      <c r="N66" s="3"/>
      <c r="O66" s="9">
        <f t="shared" si="16"/>
        <v>2100</v>
      </c>
      <c r="AA66" s="15"/>
      <c r="AM66" s="15"/>
    </row>
    <row r="67" spans="2:39" ht="19.5" customHeight="1" thickBot="1" x14ac:dyDescent="0.2">
      <c r="B67" s="17" t="s">
        <v>0</v>
      </c>
      <c r="C67" s="10">
        <v>9</v>
      </c>
      <c r="D67" s="10">
        <v>13</v>
      </c>
      <c r="E67" s="10">
        <v>12</v>
      </c>
      <c r="F67" s="10">
        <v>8</v>
      </c>
      <c r="G67" s="10">
        <v>13</v>
      </c>
      <c r="H67" s="10">
        <v>13</v>
      </c>
      <c r="I67" s="10">
        <v>8</v>
      </c>
      <c r="J67" s="10">
        <v>13</v>
      </c>
      <c r="K67" s="10">
        <v>6</v>
      </c>
      <c r="L67" s="10">
        <v>12</v>
      </c>
      <c r="M67" s="10"/>
      <c r="N67" s="11"/>
      <c r="O67" s="9">
        <f>SUM(C67:N67)+O58</f>
        <v>2239</v>
      </c>
      <c r="AA67" s="15"/>
      <c r="AM67" s="15"/>
    </row>
    <row r="68" spans="2:39" s="28" customFormat="1" ht="19.5" customHeight="1" x14ac:dyDescent="0.15">
      <c r="B68" s="26"/>
      <c r="E68" s="26"/>
      <c r="F68" s="26"/>
      <c r="G68" s="43"/>
      <c r="H68" s="26"/>
      <c r="I68" s="26"/>
      <c r="J68" s="26"/>
      <c r="K68" s="26"/>
      <c r="L68" s="28" t="s">
        <v>36</v>
      </c>
      <c r="O68" s="27"/>
      <c r="AA68" s="29"/>
      <c r="AM68" s="29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8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51"/>
  <sheetViews>
    <sheetView topLeftCell="A61" workbookViewId="0">
      <selection activeCell="P45" sqref="P45"/>
    </sheetView>
  </sheetViews>
  <sheetFormatPr defaultColWidth="9" defaultRowHeight="15.75" x14ac:dyDescent="0.15"/>
  <cols>
    <col min="1" max="1" width="12" style="1" customWidth="1"/>
    <col min="2" max="2" width="12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5" t="s">
        <v>19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5" t="s">
        <v>17</v>
      </c>
      <c r="J1" s="35" t="s">
        <v>12</v>
      </c>
      <c r="K1" s="35" t="s">
        <v>13</v>
      </c>
      <c r="L1" s="35" t="s">
        <v>14</v>
      </c>
      <c r="M1" s="35" t="s">
        <v>18</v>
      </c>
      <c r="N1" s="35" t="s">
        <v>16</v>
      </c>
      <c r="O1" s="35" t="s">
        <v>5</v>
      </c>
      <c r="P1" s="35" t="s">
        <v>6</v>
      </c>
      <c r="Q1" s="35" t="s">
        <v>7</v>
      </c>
      <c r="R1" s="35" t="s">
        <v>8</v>
      </c>
      <c r="S1" s="35" t="s">
        <v>9</v>
      </c>
      <c r="T1" s="35" t="s">
        <v>10</v>
      </c>
      <c r="U1" s="35" t="s">
        <v>26</v>
      </c>
      <c r="V1" s="35" t="s">
        <v>12</v>
      </c>
      <c r="W1" s="35" t="s">
        <v>13</v>
      </c>
      <c r="X1" s="35" t="s">
        <v>14</v>
      </c>
      <c r="Y1" s="35" t="s">
        <v>18</v>
      </c>
      <c r="Z1" s="35" t="s">
        <v>16</v>
      </c>
      <c r="AA1" s="35" t="s">
        <v>5</v>
      </c>
      <c r="AB1" s="35" t="s">
        <v>6</v>
      </c>
      <c r="AC1" s="35" t="s">
        <v>7</v>
      </c>
      <c r="AD1" s="35" t="s">
        <v>8</v>
      </c>
      <c r="AE1" s="35" t="s">
        <v>9</v>
      </c>
      <c r="AF1" s="35" t="s">
        <v>10</v>
      </c>
      <c r="AG1" s="35" t="s">
        <v>25</v>
      </c>
      <c r="AH1" s="35" t="s">
        <v>12</v>
      </c>
      <c r="AI1" s="35" t="s">
        <v>13</v>
      </c>
      <c r="AJ1" s="35" t="s">
        <v>14</v>
      </c>
      <c r="AK1" s="35" t="s">
        <v>18</v>
      </c>
      <c r="AL1" s="35" t="s">
        <v>16</v>
      </c>
      <c r="AM1" s="35" t="s">
        <v>5</v>
      </c>
      <c r="AN1" s="35" t="s">
        <v>6</v>
      </c>
      <c r="AO1" s="35" t="s">
        <v>7</v>
      </c>
      <c r="AP1" s="35" t="s">
        <v>8</v>
      </c>
      <c r="AQ1" s="35" t="s">
        <v>9</v>
      </c>
      <c r="AR1" s="35" t="s">
        <v>10</v>
      </c>
      <c r="AS1" s="35" t="s">
        <v>24</v>
      </c>
      <c r="AT1" s="35" t="s">
        <v>12</v>
      </c>
      <c r="AU1" s="35" t="s">
        <v>13</v>
      </c>
      <c r="AV1" s="35" t="s">
        <v>14</v>
      </c>
      <c r="AW1" s="35" t="s">
        <v>18</v>
      </c>
      <c r="AX1" s="35" t="s">
        <v>16</v>
      </c>
      <c r="AY1" s="35" t="s">
        <v>5</v>
      </c>
      <c r="AZ1" s="35" t="s">
        <v>6</v>
      </c>
      <c r="BA1" s="35" t="s">
        <v>7</v>
      </c>
      <c r="BB1" s="35" t="s">
        <v>8</v>
      </c>
      <c r="BC1" s="35" t="s">
        <v>9</v>
      </c>
      <c r="BD1" s="35" t="s">
        <v>10</v>
      </c>
      <c r="BE1" s="35" t="s">
        <v>27</v>
      </c>
      <c r="BF1" s="35" t="s">
        <v>12</v>
      </c>
      <c r="BG1" s="35" t="s">
        <v>13</v>
      </c>
      <c r="BH1" s="35" t="s">
        <v>14</v>
      </c>
      <c r="BI1" s="35" t="s">
        <v>18</v>
      </c>
      <c r="BJ1" s="35" t="s">
        <v>16</v>
      </c>
      <c r="BK1" s="35" t="s">
        <v>5</v>
      </c>
      <c r="BL1" s="35" t="s">
        <v>6</v>
      </c>
      <c r="BM1" s="35" t="s">
        <v>7</v>
      </c>
      <c r="BN1" s="35" t="s">
        <v>8</v>
      </c>
      <c r="BO1" s="35" t="s">
        <v>9</v>
      </c>
      <c r="BP1" s="35" t="s">
        <v>10</v>
      </c>
      <c r="BQ1" s="35" t="s">
        <v>27</v>
      </c>
      <c r="BR1" s="35" t="s">
        <v>12</v>
      </c>
      <c r="BS1" s="35" t="s">
        <v>13</v>
      </c>
      <c r="BT1" s="35" t="s">
        <v>14</v>
      </c>
      <c r="BU1" s="35" t="s">
        <v>18</v>
      </c>
      <c r="BV1" s="35" t="s">
        <v>16</v>
      </c>
      <c r="BW1" s="8" t="s">
        <v>4</v>
      </c>
    </row>
    <row r="2" spans="2:75" x14ac:dyDescent="0.15">
      <c r="B2" s="16" t="s">
        <v>3</v>
      </c>
      <c r="C2" s="4">
        <v>0</v>
      </c>
      <c r="D2" s="4">
        <v>0</v>
      </c>
      <c r="E2" s="4">
        <v>0</v>
      </c>
      <c r="F2" s="4">
        <v>0</v>
      </c>
      <c r="G2" s="4">
        <v>8</v>
      </c>
      <c r="H2" s="4">
        <v>16</v>
      </c>
      <c r="I2" s="4">
        <v>30</v>
      </c>
      <c r="J2" s="4">
        <v>32</v>
      </c>
      <c r="K2" s="4">
        <v>29</v>
      </c>
      <c r="L2" s="4">
        <v>25</v>
      </c>
      <c r="M2" s="4">
        <v>35</v>
      </c>
      <c r="N2" s="4">
        <v>34</v>
      </c>
      <c r="O2" s="4">
        <v>47</v>
      </c>
      <c r="P2" s="4">
        <f t="shared" ref="P2:Z5" si="0">D16</f>
        <v>41</v>
      </c>
      <c r="Q2" s="4">
        <f t="shared" si="0"/>
        <v>46</v>
      </c>
      <c r="R2" s="4">
        <f t="shared" si="0"/>
        <v>42</v>
      </c>
      <c r="S2" s="4">
        <f t="shared" si="0"/>
        <v>26</v>
      </c>
      <c r="T2" s="4">
        <f t="shared" si="0"/>
        <v>38</v>
      </c>
      <c r="U2" s="4">
        <f t="shared" si="0"/>
        <v>36</v>
      </c>
      <c r="V2" s="4">
        <f t="shared" si="0"/>
        <v>38</v>
      </c>
      <c r="W2" s="4">
        <f t="shared" si="0"/>
        <v>31</v>
      </c>
      <c r="X2" s="4">
        <f t="shared" si="0"/>
        <v>23</v>
      </c>
      <c r="Y2" s="4">
        <f t="shared" si="0"/>
        <v>17</v>
      </c>
      <c r="Z2" s="4">
        <f t="shared" si="0"/>
        <v>41</v>
      </c>
      <c r="AA2" s="4">
        <f>C23</f>
        <v>33</v>
      </c>
      <c r="AB2" s="4">
        <f t="shared" ref="AB2:AL5" si="1">D23</f>
        <v>26</v>
      </c>
      <c r="AC2" s="4">
        <f t="shared" si="1"/>
        <v>43</v>
      </c>
      <c r="AD2" s="4">
        <f t="shared" si="1"/>
        <v>35</v>
      </c>
      <c r="AE2" s="4">
        <f t="shared" si="1"/>
        <v>46</v>
      </c>
      <c r="AF2" s="4">
        <f t="shared" si="1"/>
        <v>19</v>
      </c>
      <c r="AG2" s="4">
        <f t="shared" si="1"/>
        <v>40</v>
      </c>
      <c r="AH2" s="4">
        <f t="shared" si="1"/>
        <v>19</v>
      </c>
      <c r="AI2" s="4">
        <f t="shared" si="1"/>
        <v>37</v>
      </c>
      <c r="AJ2" s="4">
        <f t="shared" si="1"/>
        <v>40</v>
      </c>
      <c r="AK2" s="4">
        <f t="shared" si="1"/>
        <v>37</v>
      </c>
      <c r="AL2" s="4">
        <f t="shared" si="1"/>
        <v>29</v>
      </c>
      <c r="AM2" s="4">
        <f>C30</f>
        <v>13</v>
      </c>
      <c r="AN2" s="4">
        <f t="shared" ref="AN2:AX5" si="2">D30</f>
        <v>16</v>
      </c>
      <c r="AO2" s="4">
        <f t="shared" si="2"/>
        <v>20</v>
      </c>
      <c r="AP2" s="4">
        <f t="shared" si="2"/>
        <v>22</v>
      </c>
      <c r="AQ2" s="4">
        <f t="shared" si="2"/>
        <v>33</v>
      </c>
      <c r="AR2" s="4">
        <f t="shared" si="2"/>
        <v>35</v>
      </c>
      <c r="AS2" s="4">
        <f t="shared" si="2"/>
        <v>45</v>
      </c>
      <c r="AT2" s="4">
        <f t="shared" si="2"/>
        <v>27</v>
      </c>
      <c r="AU2" s="4">
        <f t="shared" si="2"/>
        <v>22</v>
      </c>
      <c r="AV2" s="4">
        <f t="shared" si="2"/>
        <v>33</v>
      </c>
      <c r="AW2" s="4">
        <f t="shared" si="2"/>
        <v>29</v>
      </c>
      <c r="AX2" s="4">
        <f t="shared" si="2"/>
        <v>29</v>
      </c>
      <c r="AY2" s="42">
        <f>C37</f>
        <v>30</v>
      </c>
      <c r="AZ2" s="42">
        <f t="shared" ref="AZ2:BJ5" si="3">D37</f>
        <v>32</v>
      </c>
      <c r="BA2" s="42">
        <f t="shared" si="3"/>
        <v>29</v>
      </c>
      <c r="BB2" s="42">
        <f t="shared" si="3"/>
        <v>48</v>
      </c>
      <c r="BC2" s="42">
        <f t="shared" si="3"/>
        <v>39</v>
      </c>
      <c r="BD2" s="42">
        <f t="shared" si="3"/>
        <v>39</v>
      </c>
      <c r="BE2" s="42">
        <f t="shared" si="3"/>
        <v>41</v>
      </c>
      <c r="BF2" s="42">
        <f t="shared" si="3"/>
        <v>30</v>
      </c>
      <c r="BG2" s="42">
        <f t="shared" si="3"/>
        <v>38</v>
      </c>
      <c r="BH2" s="42">
        <f t="shared" si="3"/>
        <v>30</v>
      </c>
      <c r="BI2" s="42">
        <f t="shared" si="3"/>
        <v>23</v>
      </c>
      <c r="BJ2" s="42">
        <f t="shared" si="3"/>
        <v>25</v>
      </c>
      <c r="BK2" s="42">
        <f>C44</f>
        <v>31</v>
      </c>
      <c r="BL2" s="42">
        <f t="shared" ref="BL2:BV2" si="4">D44</f>
        <v>28</v>
      </c>
      <c r="BM2" s="42">
        <f t="shared" si="4"/>
        <v>33</v>
      </c>
      <c r="BN2" s="42">
        <f t="shared" si="4"/>
        <v>38</v>
      </c>
      <c r="BO2" s="42">
        <f t="shared" si="4"/>
        <v>30</v>
      </c>
      <c r="BP2" s="42">
        <f t="shared" si="4"/>
        <v>26</v>
      </c>
      <c r="BQ2" s="42">
        <f t="shared" si="4"/>
        <v>28</v>
      </c>
      <c r="BR2" s="42">
        <f t="shared" si="4"/>
        <v>39</v>
      </c>
      <c r="BS2" s="42">
        <f t="shared" si="4"/>
        <v>34</v>
      </c>
      <c r="BT2" s="42">
        <f t="shared" si="4"/>
        <v>18</v>
      </c>
      <c r="BU2" s="42">
        <f t="shared" si="4"/>
        <v>25</v>
      </c>
      <c r="BV2" s="42">
        <f t="shared" si="4"/>
        <v>21</v>
      </c>
      <c r="BW2" s="9">
        <f>SUM(C2:BV2)</f>
        <v>2118</v>
      </c>
    </row>
    <row r="3" spans="2:75" x14ac:dyDescent="0.15">
      <c r="B3" s="16" t="s">
        <v>2</v>
      </c>
      <c r="C3" s="4">
        <v>0</v>
      </c>
      <c r="D3" s="4">
        <v>19</v>
      </c>
      <c r="E3" s="4">
        <v>5</v>
      </c>
      <c r="F3" s="4">
        <v>5</v>
      </c>
      <c r="G3" s="4">
        <v>4</v>
      </c>
      <c r="H3" s="4">
        <v>4</v>
      </c>
      <c r="I3" s="4">
        <v>26</v>
      </c>
      <c r="J3" s="4">
        <v>19</v>
      </c>
      <c r="K3" s="4">
        <v>16</v>
      </c>
      <c r="L3" s="4">
        <v>20</v>
      </c>
      <c r="M3" s="4">
        <v>13</v>
      </c>
      <c r="N3" s="4">
        <v>26</v>
      </c>
      <c r="O3" s="4">
        <v>19</v>
      </c>
      <c r="P3" s="4">
        <f t="shared" si="0"/>
        <v>32</v>
      </c>
      <c r="Q3" s="4">
        <f t="shared" si="0"/>
        <v>37</v>
      </c>
      <c r="R3" s="4">
        <f t="shared" si="0"/>
        <v>33</v>
      </c>
      <c r="S3" s="4">
        <f t="shared" si="0"/>
        <v>24</v>
      </c>
      <c r="T3" s="4">
        <f t="shared" si="0"/>
        <v>40</v>
      </c>
      <c r="U3" s="4">
        <f t="shared" si="0"/>
        <v>21</v>
      </c>
      <c r="V3" s="4">
        <f t="shared" si="0"/>
        <v>28</v>
      </c>
      <c r="W3" s="4">
        <f t="shared" si="0"/>
        <v>30</v>
      </c>
      <c r="X3" s="4">
        <f t="shared" si="0"/>
        <v>24</v>
      </c>
      <c r="Y3" s="4">
        <f t="shared" si="0"/>
        <v>8</v>
      </c>
      <c r="Z3" s="4">
        <f t="shared" si="0"/>
        <v>33</v>
      </c>
      <c r="AA3" s="4">
        <f t="shared" ref="AA3:AA5" si="5">C24</f>
        <v>27</v>
      </c>
      <c r="AB3" s="4">
        <f t="shared" si="1"/>
        <v>22</v>
      </c>
      <c r="AC3" s="4">
        <f t="shared" si="1"/>
        <v>42</v>
      </c>
      <c r="AD3" s="4">
        <f t="shared" si="1"/>
        <v>26</v>
      </c>
      <c r="AE3" s="4">
        <f t="shared" si="1"/>
        <v>47</v>
      </c>
      <c r="AF3" s="4">
        <f t="shared" si="1"/>
        <v>17</v>
      </c>
      <c r="AG3" s="4">
        <f t="shared" si="1"/>
        <v>40</v>
      </c>
      <c r="AH3" s="4">
        <f t="shared" si="1"/>
        <v>26</v>
      </c>
      <c r="AI3" s="4">
        <f t="shared" si="1"/>
        <v>38</v>
      </c>
      <c r="AJ3" s="4">
        <f t="shared" si="1"/>
        <v>47</v>
      </c>
      <c r="AK3" s="4">
        <f t="shared" si="1"/>
        <v>15</v>
      </c>
      <c r="AL3" s="4">
        <f t="shared" si="1"/>
        <v>24</v>
      </c>
      <c r="AM3" s="4">
        <f t="shared" ref="AM3:AM5" si="6">C31</f>
        <v>11</v>
      </c>
      <c r="AN3" s="4">
        <f t="shared" si="2"/>
        <v>26</v>
      </c>
      <c r="AO3" s="4">
        <f t="shared" si="2"/>
        <v>15</v>
      </c>
      <c r="AP3" s="4">
        <f t="shared" si="2"/>
        <v>12</v>
      </c>
      <c r="AQ3" s="4">
        <f t="shared" si="2"/>
        <v>33</v>
      </c>
      <c r="AR3" s="4">
        <f t="shared" si="2"/>
        <v>33</v>
      </c>
      <c r="AS3" s="4">
        <f t="shared" si="2"/>
        <v>47</v>
      </c>
      <c r="AT3" s="4">
        <f t="shared" si="2"/>
        <v>42</v>
      </c>
      <c r="AU3" s="4">
        <f t="shared" si="2"/>
        <v>31</v>
      </c>
      <c r="AV3" s="4">
        <f t="shared" si="2"/>
        <v>20</v>
      </c>
      <c r="AW3" s="4">
        <f t="shared" si="2"/>
        <v>28</v>
      </c>
      <c r="AX3" s="4">
        <f t="shared" si="2"/>
        <v>27</v>
      </c>
      <c r="AY3" s="42">
        <f t="shared" ref="AY3:AY5" si="7">C38</f>
        <v>26</v>
      </c>
      <c r="AZ3" s="42">
        <f t="shared" si="3"/>
        <v>31</v>
      </c>
      <c r="BA3" s="42">
        <f t="shared" si="3"/>
        <v>21</v>
      </c>
      <c r="BB3" s="42">
        <f t="shared" si="3"/>
        <v>47</v>
      </c>
      <c r="BC3" s="42">
        <f t="shared" si="3"/>
        <v>30</v>
      </c>
      <c r="BD3" s="42">
        <f t="shared" si="3"/>
        <v>38</v>
      </c>
      <c r="BE3" s="42">
        <f t="shared" si="3"/>
        <v>37</v>
      </c>
      <c r="BF3" s="42">
        <f t="shared" si="3"/>
        <v>33</v>
      </c>
      <c r="BG3" s="42">
        <f t="shared" si="3"/>
        <v>27</v>
      </c>
      <c r="BH3" s="42">
        <f t="shared" si="3"/>
        <v>27</v>
      </c>
      <c r="BI3" s="42">
        <f t="shared" si="3"/>
        <v>22</v>
      </c>
      <c r="BJ3" s="42">
        <f t="shared" si="3"/>
        <v>22</v>
      </c>
      <c r="BK3" s="42">
        <f t="shared" ref="BK3:BV5" si="8">C46</f>
        <v>0</v>
      </c>
      <c r="BL3" s="42">
        <f t="shared" si="8"/>
        <v>0</v>
      </c>
      <c r="BM3" s="42">
        <f t="shared" si="8"/>
        <v>0</v>
      </c>
      <c r="BN3" s="42">
        <f t="shared" si="8"/>
        <v>0</v>
      </c>
      <c r="BO3" s="42">
        <f t="shared" si="8"/>
        <v>0</v>
      </c>
      <c r="BP3" s="42">
        <f t="shared" si="8"/>
        <v>0</v>
      </c>
      <c r="BQ3" s="42">
        <f t="shared" si="8"/>
        <v>0</v>
      </c>
      <c r="BR3" s="42">
        <f t="shared" si="8"/>
        <v>0</v>
      </c>
      <c r="BS3" s="42">
        <f t="shared" si="8"/>
        <v>6</v>
      </c>
      <c r="BT3" s="42">
        <f t="shared" si="8"/>
        <v>3</v>
      </c>
      <c r="BU3" s="42">
        <f t="shared" si="8"/>
        <v>4</v>
      </c>
      <c r="BV3" s="42">
        <f t="shared" si="8"/>
        <v>5</v>
      </c>
      <c r="BW3" s="9">
        <f t="shared" ref="BW3:BW5" si="9">SUM(C3:BV3)</f>
        <v>1561</v>
      </c>
    </row>
    <row r="4" spans="2:75" x14ac:dyDescent="0.15">
      <c r="B4" s="16" t="s">
        <v>1</v>
      </c>
      <c r="C4" s="4">
        <v>9</v>
      </c>
      <c r="D4" s="4">
        <v>4</v>
      </c>
      <c r="E4" s="4">
        <v>3</v>
      </c>
      <c r="F4" s="4">
        <v>4</v>
      </c>
      <c r="G4" s="4">
        <v>8</v>
      </c>
      <c r="H4" s="4">
        <v>2</v>
      </c>
      <c r="I4" s="4">
        <v>10</v>
      </c>
      <c r="J4" s="4">
        <v>6</v>
      </c>
      <c r="K4" s="4">
        <v>6</v>
      </c>
      <c r="L4" s="4">
        <v>4</v>
      </c>
      <c r="M4" s="4">
        <v>6</v>
      </c>
      <c r="N4" s="4">
        <v>8</v>
      </c>
      <c r="O4" s="4">
        <v>4</v>
      </c>
      <c r="P4" s="4">
        <f t="shared" si="0"/>
        <v>7</v>
      </c>
      <c r="Q4" s="4">
        <f t="shared" si="0"/>
        <v>7</v>
      </c>
      <c r="R4" s="4">
        <f t="shared" si="0"/>
        <v>20</v>
      </c>
      <c r="S4" s="4">
        <f t="shared" si="0"/>
        <v>20</v>
      </c>
      <c r="T4" s="4">
        <f t="shared" si="0"/>
        <v>12</v>
      </c>
      <c r="U4" s="4">
        <f t="shared" si="0"/>
        <v>9</v>
      </c>
      <c r="V4" s="4">
        <f t="shared" si="0"/>
        <v>10</v>
      </c>
      <c r="W4" s="4">
        <f t="shared" si="0"/>
        <v>8</v>
      </c>
      <c r="X4" s="4">
        <f t="shared" si="0"/>
        <v>11</v>
      </c>
      <c r="Y4" s="4">
        <f t="shared" si="0"/>
        <v>6</v>
      </c>
      <c r="Z4" s="4">
        <f t="shared" si="0"/>
        <v>7</v>
      </c>
      <c r="AA4" s="4">
        <f t="shared" si="5"/>
        <v>6</v>
      </c>
      <c r="AB4" s="4">
        <f t="shared" si="1"/>
        <v>12</v>
      </c>
      <c r="AC4" s="4">
        <f t="shared" si="1"/>
        <v>10</v>
      </c>
      <c r="AD4" s="4">
        <f t="shared" si="1"/>
        <v>4</v>
      </c>
      <c r="AE4" s="4">
        <f t="shared" si="1"/>
        <v>5</v>
      </c>
      <c r="AF4" s="4">
        <f t="shared" si="1"/>
        <v>7</v>
      </c>
      <c r="AG4" s="4">
        <f t="shared" si="1"/>
        <v>15</v>
      </c>
      <c r="AH4" s="4">
        <f t="shared" si="1"/>
        <v>7</v>
      </c>
      <c r="AI4" s="4">
        <f t="shared" si="1"/>
        <v>7</v>
      </c>
      <c r="AJ4" s="4">
        <f t="shared" si="1"/>
        <v>12</v>
      </c>
      <c r="AK4" s="4">
        <f t="shared" si="1"/>
        <v>14</v>
      </c>
      <c r="AL4" s="4">
        <f t="shared" si="1"/>
        <v>12</v>
      </c>
      <c r="AM4" s="4">
        <f t="shared" si="6"/>
        <v>12</v>
      </c>
      <c r="AN4" s="4">
        <f t="shared" si="2"/>
        <v>6</v>
      </c>
      <c r="AO4" s="4">
        <f t="shared" si="2"/>
        <v>1</v>
      </c>
      <c r="AP4" s="4">
        <f t="shared" si="2"/>
        <v>6</v>
      </c>
      <c r="AQ4" s="4">
        <f t="shared" si="2"/>
        <v>5</v>
      </c>
      <c r="AR4" s="4">
        <f t="shared" si="2"/>
        <v>3</v>
      </c>
      <c r="AS4" s="4">
        <f t="shared" si="2"/>
        <v>10</v>
      </c>
      <c r="AT4" s="4">
        <f t="shared" si="2"/>
        <v>3</v>
      </c>
      <c r="AU4" s="4">
        <f t="shared" si="2"/>
        <v>12</v>
      </c>
      <c r="AV4" s="4">
        <f t="shared" si="2"/>
        <v>3</v>
      </c>
      <c r="AW4" s="4">
        <f t="shared" si="2"/>
        <v>3</v>
      </c>
      <c r="AX4" s="4">
        <f t="shared" si="2"/>
        <v>4</v>
      </c>
      <c r="AY4" s="42">
        <f t="shared" si="7"/>
        <v>8</v>
      </c>
      <c r="AZ4" s="42">
        <f t="shared" si="3"/>
        <v>3</v>
      </c>
      <c r="BA4" s="42">
        <f t="shared" si="3"/>
        <v>1</v>
      </c>
      <c r="BB4" s="42">
        <f t="shared" si="3"/>
        <v>4</v>
      </c>
      <c r="BC4" s="42">
        <f t="shared" si="3"/>
        <v>7</v>
      </c>
      <c r="BD4" s="42">
        <f t="shared" si="3"/>
        <v>7</v>
      </c>
      <c r="BE4" s="42">
        <f t="shared" si="3"/>
        <v>6</v>
      </c>
      <c r="BF4" s="42">
        <f t="shared" si="3"/>
        <v>6</v>
      </c>
      <c r="BG4" s="42">
        <f t="shared" si="3"/>
        <v>2</v>
      </c>
      <c r="BH4" s="42">
        <f t="shared" si="3"/>
        <v>3</v>
      </c>
      <c r="BI4" s="42">
        <f t="shared" si="3"/>
        <v>6</v>
      </c>
      <c r="BJ4" s="42">
        <f t="shared" si="3"/>
        <v>5</v>
      </c>
      <c r="BK4" s="42">
        <f t="shared" si="8"/>
        <v>9</v>
      </c>
      <c r="BL4" s="42">
        <f t="shared" si="8"/>
        <v>6</v>
      </c>
      <c r="BM4" s="42">
        <f t="shared" si="8"/>
        <v>8</v>
      </c>
      <c r="BN4" s="42">
        <f t="shared" si="8"/>
        <v>3</v>
      </c>
      <c r="BO4" s="42">
        <f t="shared" si="8"/>
        <v>3</v>
      </c>
      <c r="BP4" s="42">
        <f t="shared" si="8"/>
        <v>3</v>
      </c>
      <c r="BQ4" s="42">
        <f t="shared" si="8"/>
        <v>9</v>
      </c>
      <c r="BR4" s="42">
        <f t="shared" si="8"/>
        <v>5</v>
      </c>
      <c r="BS4" s="42">
        <f t="shared" si="8"/>
        <v>3</v>
      </c>
      <c r="BT4" s="42">
        <f t="shared" si="8"/>
        <v>0</v>
      </c>
      <c r="BU4" s="42">
        <f t="shared" si="8"/>
        <v>7</v>
      </c>
      <c r="BV4" s="42">
        <f t="shared" si="8"/>
        <v>1</v>
      </c>
      <c r="BW4" s="9">
        <f t="shared" si="9"/>
        <v>485</v>
      </c>
    </row>
    <row r="5" spans="2:75" ht="16.5" thickBot="1" x14ac:dyDescent="0.2">
      <c r="B5" s="17" t="s">
        <v>0</v>
      </c>
      <c r="C5" s="10">
        <v>47</v>
      </c>
      <c r="D5" s="10">
        <v>13</v>
      </c>
      <c r="E5" s="10">
        <v>12</v>
      </c>
      <c r="F5" s="10">
        <v>14</v>
      </c>
      <c r="G5" s="10">
        <v>11</v>
      </c>
      <c r="H5" s="10">
        <v>20</v>
      </c>
      <c r="I5" s="10">
        <v>22</v>
      </c>
      <c r="J5" s="10">
        <v>21</v>
      </c>
      <c r="K5" s="10">
        <v>21</v>
      </c>
      <c r="L5" s="10">
        <v>33</v>
      </c>
      <c r="M5" s="10">
        <v>37</v>
      </c>
      <c r="N5" s="10">
        <v>28</v>
      </c>
      <c r="O5" s="10">
        <v>36</v>
      </c>
      <c r="P5" s="4">
        <f t="shared" si="0"/>
        <v>32</v>
      </c>
      <c r="Q5" s="4">
        <f t="shared" si="0"/>
        <v>48</v>
      </c>
      <c r="R5" s="4">
        <f t="shared" si="0"/>
        <v>42</v>
      </c>
      <c r="S5" s="4">
        <f t="shared" si="0"/>
        <v>42</v>
      </c>
      <c r="T5" s="4">
        <f t="shared" si="0"/>
        <v>40</v>
      </c>
      <c r="U5" s="4">
        <f t="shared" si="0"/>
        <v>26</v>
      </c>
      <c r="V5" s="4">
        <f t="shared" si="0"/>
        <v>43</v>
      </c>
      <c r="W5" s="4">
        <f t="shared" si="0"/>
        <v>38</v>
      </c>
      <c r="X5" s="4">
        <f t="shared" si="0"/>
        <v>61</v>
      </c>
      <c r="Y5" s="4">
        <f t="shared" si="0"/>
        <v>32</v>
      </c>
      <c r="Z5" s="4">
        <f t="shared" si="0"/>
        <v>32</v>
      </c>
      <c r="AA5" s="4">
        <f t="shared" si="5"/>
        <v>34</v>
      </c>
      <c r="AB5" s="4">
        <f t="shared" si="1"/>
        <v>33</v>
      </c>
      <c r="AC5" s="4">
        <f t="shared" si="1"/>
        <v>46</v>
      </c>
      <c r="AD5" s="4">
        <f t="shared" si="1"/>
        <v>24</v>
      </c>
      <c r="AE5" s="4">
        <f t="shared" si="1"/>
        <v>31</v>
      </c>
      <c r="AF5" s="4">
        <f t="shared" si="1"/>
        <v>19</v>
      </c>
      <c r="AG5" s="4">
        <f t="shared" si="1"/>
        <v>42</v>
      </c>
      <c r="AH5" s="4">
        <f t="shared" si="1"/>
        <v>52</v>
      </c>
      <c r="AI5" s="4">
        <f t="shared" si="1"/>
        <v>37</v>
      </c>
      <c r="AJ5" s="4">
        <f t="shared" si="1"/>
        <v>35</v>
      </c>
      <c r="AK5" s="4">
        <f t="shared" si="1"/>
        <v>27</v>
      </c>
      <c r="AL5" s="4">
        <f t="shared" si="1"/>
        <v>28</v>
      </c>
      <c r="AM5" s="10">
        <f t="shared" si="6"/>
        <v>24</v>
      </c>
      <c r="AN5" s="10">
        <f t="shared" si="2"/>
        <v>15</v>
      </c>
      <c r="AO5" s="10">
        <f t="shared" si="2"/>
        <v>13</v>
      </c>
      <c r="AP5" s="10">
        <f t="shared" si="2"/>
        <v>21</v>
      </c>
      <c r="AQ5" s="10">
        <f t="shared" si="2"/>
        <v>27</v>
      </c>
      <c r="AR5" s="10">
        <f t="shared" si="2"/>
        <v>19</v>
      </c>
      <c r="AS5" s="10">
        <f t="shared" si="2"/>
        <v>61</v>
      </c>
      <c r="AT5" s="10">
        <f t="shared" si="2"/>
        <v>41</v>
      </c>
      <c r="AU5" s="10">
        <f t="shared" si="2"/>
        <v>18</v>
      </c>
      <c r="AV5" s="10">
        <f t="shared" si="2"/>
        <v>24</v>
      </c>
      <c r="AW5" s="10">
        <f t="shared" si="2"/>
        <v>17</v>
      </c>
      <c r="AX5" s="10">
        <f t="shared" si="2"/>
        <v>25</v>
      </c>
      <c r="AY5" s="42">
        <f t="shared" si="7"/>
        <v>38</v>
      </c>
      <c r="AZ5" s="42">
        <f t="shared" si="3"/>
        <v>27</v>
      </c>
      <c r="BA5" s="42">
        <f t="shared" si="3"/>
        <v>13</v>
      </c>
      <c r="BB5" s="42">
        <f t="shared" si="3"/>
        <v>48</v>
      </c>
      <c r="BC5" s="42">
        <f t="shared" si="3"/>
        <v>31</v>
      </c>
      <c r="BD5" s="42">
        <f t="shared" si="3"/>
        <v>18</v>
      </c>
      <c r="BE5" s="42">
        <f t="shared" si="3"/>
        <v>23</v>
      </c>
      <c r="BF5" s="42">
        <f t="shared" si="3"/>
        <v>27</v>
      </c>
      <c r="BG5" s="42">
        <f t="shared" si="3"/>
        <v>20</v>
      </c>
      <c r="BH5" s="42">
        <f t="shared" si="3"/>
        <v>23</v>
      </c>
      <c r="BI5" s="42">
        <f t="shared" si="3"/>
        <v>18</v>
      </c>
      <c r="BJ5" s="42">
        <f t="shared" si="3"/>
        <v>11</v>
      </c>
      <c r="BK5" s="42">
        <f t="shared" si="8"/>
        <v>20</v>
      </c>
      <c r="BL5" s="42">
        <f t="shared" si="8"/>
        <v>19</v>
      </c>
      <c r="BM5" s="42">
        <f t="shared" si="8"/>
        <v>10</v>
      </c>
      <c r="BN5" s="42">
        <f t="shared" si="8"/>
        <v>6</v>
      </c>
      <c r="BO5" s="42">
        <f t="shared" si="8"/>
        <v>14</v>
      </c>
      <c r="BP5" s="42">
        <f t="shared" si="8"/>
        <v>14</v>
      </c>
      <c r="BQ5" s="42">
        <f t="shared" si="8"/>
        <v>9</v>
      </c>
      <c r="BR5" s="42">
        <f t="shared" si="8"/>
        <v>11</v>
      </c>
      <c r="BS5" s="42">
        <f t="shared" si="8"/>
        <v>15</v>
      </c>
      <c r="BT5" s="42">
        <f t="shared" si="8"/>
        <v>5</v>
      </c>
      <c r="BU5" s="42">
        <f t="shared" si="8"/>
        <v>22</v>
      </c>
      <c r="BV5" s="42">
        <f t="shared" si="8"/>
        <v>30</v>
      </c>
      <c r="BW5" s="9">
        <f t="shared" si="9"/>
        <v>1936</v>
      </c>
    </row>
    <row r="6" spans="2:75" ht="16.5" thickBot="1" x14ac:dyDescent="0.2">
      <c r="B6" s="4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1"/>
      <c r="AA6" s="1"/>
      <c r="AM6" s="1"/>
      <c r="BW6" s="15"/>
    </row>
    <row r="7" spans="2:75" ht="29.25" customHeight="1" thickBot="1" x14ac:dyDescent="0.2">
      <c r="B7" s="19" t="s">
        <v>20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5"/>
    </row>
    <row r="8" spans="2:75" s="6" customFormat="1" x14ac:dyDescent="0.15">
      <c r="B8" s="7"/>
      <c r="C8" s="41" t="s">
        <v>21</v>
      </c>
      <c r="D8" s="41" t="s">
        <v>6</v>
      </c>
      <c r="E8" s="41" t="s">
        <v>7</v>
      </c>
      <c r="F8" s="41" t="s">
        <v>8</v>
      </c>
      <c r="G8" s="41" t="s">
        <v>9</v>
      </c>
      <c r="H8" s="41" t="s">
        <v>10</v>
      </c>
      <c r="I8" s="41" t="s">
        <v>11</v>
      </c>
      <c r="J8" s="41" t="s">
        <v>12</v>
      </c>
      <c r="K8" s="41" t="s">
        <v>13</v>
      </c>
      <c r="L8" s="41" t="s">
        <v>14</v>
      </c>
      <c r="M8" s="41" t="s">
        <v>18</v>
      </c>
      <c r="N8" s="41" t="s">
        <v>16</v>
      </c>
      <c r="O8" s="8" t="s">
        <v>4</v>
      </c>
      <c r="AA8" s="1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4"/>
    </row>
    <row r="9" spans="2:75" x14ac:dyDescent="0.15">
      <c r="B9" s="16" t="s">
        <v>3</v>
      </c>
      <c r="C9" s="4">
        <v>0</v>
      </c>
      <c r="D9" s="4">
        <v>0</v>
      </c>
      <c r="E9" s="4">
        <v>0</v>
      </c>
      <c r="F9" s="4">
        <v>0</v>
      </c>
      <c r="G9" s="4">
        <v>8</v>
      </c>
      <c r="H9" s="4">
        <v>16</v>
      </c>
      <c r="I9" s="4">
        <v>30</v>
      </c>
      <c r="J9" s="4">
        <v>32</v>
      </c>
      <c r="K9" s="4">
        <v>29</v>
      </c>
      <c r="L9" s="4">
        <v>25</v>
      </c>
      <c r="M9" s="4">
        <v>35</v>
      </c>
      <c r="N9" s="3">
        <v>34</v>
      </c>
      <c r="O9" s="9">
        <f>SUM(C9:N9)</f>
        <v>209</v>
      </c>
      <c r="AA9" s="15"/>
      <c r="AM9" s="15"/>
    </row>
    <row r="10" spans="2:75" x14ac:dyDescent="0.15">
      <c r="B10" s="16" t="s">
        <v>2</v>
      </c>
      <c r="C10" s="4">
        <v>0</v>
      </c>
      <c r="D10" s="4">
        <v>19</v>
      </c>
      <c r="E10" s="4">
        <v>5</v>
      </c>
      <c r="F10" s="4">
        <v>5</v>
      </c>
      <c r="G10" s="4">
        <v>4</v>
      </c>
      <c r="H10" s="4">
        <v>4</v>
      </c>
      <c r="I10" s="4">
        <v>26</v>
      </c>
      <c r="J10" s="4">
        <v>19</v>
      </c>
      <c r="K10" s="4">
        <v>16</v>
      </c>
      <c r="L10" s="4">
        <v>20</v>
      </c>
      <c r="M10" s="4">
        <v>13</v>
      </c>
      <c r="N10" s="3">
        <v>26</v>
      </c>
      <c r="O10" s="9">
        <f>SUM(C10:N10)</f>
        <v>157</v>
      </c>
      <c r="AA10" s="15"/>
      <c r="AM10" s="15"/>
    </row>
    <row r="11" spans="2:75" x14ac:dyDescent="0.15">
      <c r="B11" s="16" t="s">
        <v>1</v>
      </c>
      <c r="C11" s="4">
        <v>9</v>
      </c>
      <c r="D11" s="4">
        <v>4</v>
      </c>
      <c r="E11" s="4">
        <v>3</v>
      </c>
      <c r="F11" s="4">
        <v>4</v>
      </c>
      <c r="G11" s="4">
        <v>8</v>
      </c>
      <c r="H11" s="4">
        <v>2</v>
      </c>
      <c r="I11" s="4">
        <v>10</v>
      </c>
      <c r="J11" s="4">
        <v>6</v>
      </c>
      <c r="K11" s="4">
        <v>6</v>
      </c>
      <c r="L11" s="4">
        <v>4</v>
      </c>
      <c r="M11" s="4">
        <v>6</v>
      </c>
      <c r="N11" s="3">
        <v>8</v>
      </c>
      <c r="O11" s="9">
        <f>SUM(C11:N11)</f>
        <v>70</v>
      </c>
      <c r="AA11" s="15"/>
      <c r="AM11" s="15"/>
    </row>
    <row r="12" spans="2:75" ht="16.5" thickBot="1" x14ac:dyDescent="0.2">
      <c r="B12" s="17" t="s">
        <v>0</v>
      </c>
      <c r="C12" s="4">
        <v>47</v>
      </c>
      <c r="D12" s="4">
        <v>13</v>
      </c>
      <c r="E12" s="4">
        <v>12</v>
      </c>
      <c r="F12" s="4">
        <v>14</v>
      </c>
      <c r="G12" s="4">
        <v>11</v>
      </c>
      <c r="H12" s="4">
        <v>20</v>
      </c>
      <c r="I12" s="4">
        <v>22</v>
      </c>
      <c r="J12" s="4">
        <v>21</v>
      </c>
      <c r="K12" s="4">
        <v>21</v>
      </c>
      <c r="L12" s="4">
        <v>33</v>
      </c>
      <c r="M12" s="4">
        <v>37</v>
      </c>
      <c r="N12" s="3">
        <v>28</v>
      </c>
      <c r="O12" s="12">
        <f>SUM(C12:N12)</f>
        <v>279</v>
      </c>
      <c r="AA12" s="15"/>
      <c r="AM12" s="15"/>
    </row>
    <row r="13" spans="2:75" ht="6.75" customHeight="1" x14ac:dyDescent="0.15">
      <c r="B13" s="18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/>
      <c r="AA13" s="34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5"/>
    </row>
    <row r="14" spans="2:75" ht="29.25" customHeight="1" thickBot="1" x14ac:dyDescent="0.2">
      <c r="B14" s="19" t="s">
        <v>22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AA14" s="2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5"/>
    </row>
    <row r="15" spans="2:75" s="5" customFormat="1" x14ac:dyDescent="0.15">
      <c r="B15" s="13"/>
      <c r="C15" s="41" t="s">
        <v>21</v>
      </c>
      <c r="D15" s="41" t="s">
        <v>6</v>
      </c>
      <c r="E15" s="41" t="s">
        <v>7</v>
      </c>
      <c r="F15" s="41" t="s">
        <v>8</v>
      </c>
      <c r="G15" s="41" t="s">
        <v>9</v>
      </c>
      <c r="H15" s="41" t="s">
        <v>10</v>
      </c>
      <c r="I15" s="41" t="s">
        <v>11</v>
      </c>
      <c r="J15" s="41" t="s">
        <v>12</v>
      </c>
      <c r="K15" s="41" t="s">
        <v>13</v>
      </c>
      <c r="L15" s="41" t="s">
        <v>14</v>
      </c>
      <c r="M15" s="41" t="s">
        <v>18</v>
      </c>
      <c r="N15" s="41" t="s">
        <v>16</v>
      </c>
      <c r="O15" s="14" t="s">
        <v>15</v>
      </c>
      <c r="AA15" s="1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5"/>
    </row>
    <row r="16" spans="2:75" x14ac:dyDescent="0.15">
      <c r="B16" s="16" t="s">
        <v>3</v>
      </c>
      <c r="C16" s="4">
        <v>47</v>
      </c>
      <c r="D16" s="4">
        <v>41</v>
      </c>
      <c r="E16" s="4">
        <v>46</v>
      </c>
      <c r="F16" s="4">
        <v>42</v>
      </c>
      <c r="G16" s="4">
        <v>26</v>
      </c>
      <c r="H16" s="4">
        <v>38</v>
      </c>
      <c r="I16" s="4">
        <v>36</v>
      </c>
      <c r="J16" s="4">
        <v>38</v>
      </c>
      <c r="K16" s="4">
        <v>31</v>
      </c>
      <c r="L16" s="4">
        <v>23</v>
      </c>
      <c r="M16" s="4">
        <v>17</v>
      </c>
      <c r="N16" s="3">
        <v>41</v>
      </c>
      <c r="O16" s="9">
        <f>SUM(C16:N16)+O9</f>
        <v>635</v>
      </c>
      <c r="AA16" s="15"/>
      <c r="AM16" s="15"/>
    </row>
    <row r="17" spans="2:75" x14ac:dyDescent="0.15">
      <c r="B17" s="16" t="s">
        <v>2</v>
      </c>
      <c r="C17" s="4">
        <v>19</v>
      </c>
      <c r="D17" s="4">
        <v>32</v>
      </c>
      <c r="E17" s="4">
        <v>37</v>
      </c>
      <c r="F17" s="4">
        <v>33</v>
      </c>
      <c r="G17" s="4">
        <v>24</v>
      </c>
      <c r="H17" s="4">
        <v>40</v>
      </c>
      <c r="I17" s="4">
        <v>21</v>
      </c>
      <c r="J17" s="4">
        <v>28</v>
      </c>
      <c r="K17" s="4">
        <v>30</v>
      </c>
      <c r="L17" s="4">
        <v>24</v>
      </c>
      <c r="M17" s="4">
        <v>8</v>
      </c>
      <c r="N17" s="3">
        <v>33</v>
      </c>
      <c r="O17" s="9">
        <f t="shared" ref="O17:O19" si="10">SUM(C17:N17)+O10</f>
        <v>486</v>
      </c>
      <c r="AA17" s="15"/>
      <c r="AM17" s="15"/>
    </row>
    <row r="18" spans="2:75" x14ac:dyDescent="0.15">
      <c r="B18" s="16" t="s">
        <v>1</v>
      </c>
      <c r="C18" s="4">
        <v>4</v>
      </c>
      <c r="D18" s="4">
        <v>7</v>
      </c>
      <c r="E18" s="4">
        <v>7</v>
      </c>
      <c r="F18" s="4">
        <v>20</v>
      </c>
      <c r="G18" s="4">
        <v>20</v>
      </c>
      <c r="H18" s="4">
        <v>12</v>
      </c>
      <c r="I18" s="4">
        <v>9</v>
      </c>
      <c r="J18" s="4">
        <v>10</v>
      </c>
      <c r="K18" s="4">
        <v>8</v>
      </c>
      <c r="L18" s="4">
        <v>11</v>
      </c>
      <c r="M18" s="4">
        <v>6</v>
      </c>
      <c r="N18" s="3">
        <v>7</v>
      </c>
      <c r="O18" s="9">
        <f t="shared" si="10"/>
        <v>191</v>
      </c>
      <c r="AA18" s="15"/>
      <c r="AM18" s="15"/>
    </row>
    <row r="19" spans="2:75" ht="16.5" thickBot="1" x14ac:dyDescent="0.2">
      <c r="B19" s="17" t="s">
        <v>0</v>
      </c>
      <c r="C19" s="10">
        <v>36</v>
      </c>
      <c r="D19" s="10">
        <v>32</v>
      </c>
      <c r="E19" s="10">
        <v>48</v>
      </c>
      <c r="F19" s="10">
        <v>42</v>
      </c>
      <c r="G19" s="10">
        <v>42</v>
      </c>
      <c r="H19" s="10">
        <v>40</v>
      </c>
      <c r="I19" s="10">
        <v>26</v>
      </c>
      <c r="J19" s="10">
        <v>43</v>
      </c>
      <c r="K19" s="10">
        <v>38</v>
      </c>
      <c r="L19" s="10">
        <v>61</v>
      </c>
      <c r="M19" s="10">
        <v>32</v>
      </c>
      <c r="N19" s="11">
        <v>32</v>
      </c>
      <c r="O19" s="12">
        <f t="shared" si="10"/>
        <v>751</v>
      </c>
      <c r="AA19" s="15"/>
      <c r="AM19" s="15"/>
    </row>
    <row r="20" spans="2:75" ht="6.75" customHeight="1" x14ac:dyDescent="0.15">
      <c r="O20" s="15"/>
      <c r="AA20" s="15"/>
      <c r="AM20" s="15"/>
    </row>
    <row r="21" spans="2:75" ht="29.25" customHeight="1" thickBot="1" x14ac:dyDescent="0.2">
      <c r="B21" s="39" t="s">
        <v>23</v>
      </c>
      <c r="C21" s="6"/>
      <c r="D21" s="30"/>
      <c r="E21" s="30"/>
      <c r="F21" s="30"/>
      <c r="G21" s="6"/>
      <c r="H21" s="31"/>
      <c r="I21" s="6"/>
      <c r="J21" s="31"/>
      <c r="K21" s="31"/>
      <c r="L21" s="31"/>
      <c r="M21" s="31"/>
      <c r="N21" s="32"/>
      <c r="O21" s="3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4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5"/>
    </row>
    <row r="22" spans="2:75" s="5" customFormat="1" x14ac:dyDescent="0.15">
      <c r="B22" s="13"/>
      <c r="C22" s="35" t="s">
        <v>21</v>
      </c>
      <c r="D22" s="35" t="s">
        <v>6</v>
      </c>
      <c r="E22" s="35" t="s">
        <v>7</v>
      </c>
      <c r="F22" s="35" t="s">
        <v>8</v>
      </c>
      <c r="G22" s="35" t="s">
        <v>9</v>
      </c>
      <c r="H22" s="35" t="s">
        <v>10</v>
      </c>
      <c r="I22" s="35" t="s">
        <v>11</v>
      </c>
      <c r="J22" s="35" t="s">
        <v>12</v>
      </c>
      <c r="K22" s="35" t="s">
        <v>13</v>
      </c>
      <c r="L22" s="35" t="s">
        <v>14</v>
      </c>
      <c r="M22" s="35" t="s">
        <v>18</v>
      </c>
      <c r="N22" s="35" t="s">
        <v>16</v>
      </c>
      <c r="O22" s="14" t="s">
        <v>15</v>
      </c>
      <c r="AA22" s="25"/>
      <c r="AM22" s="25"/>
    </row>
    <row r="23" spans="2:75" x14ac:dyDescent="0.15">
      <c r="B23" s="16" t="s">
        <v>3</v>
      </c>
      <c r="C23" s="3">
        <v>33</v>
      </c>
      <c r="D23" s="4">
        <v>26</v>
      </c>
      <c r="E23" s="4">
        <v>43</v>
      </c>
      <c r="F23" s="4">
        <v>35</v>
      </c>
      <c r="G23" s="4">
        <v>46</v>
      </c>
      <c r="H23" s="4">
        <v>19</v>
      </c>
      <c r="I23" s="4">
        <v>40</v>
      </c>
      <c r="J23" s="4">
        <v>19</v>
      </c>
      <c r="K23" s="4">
        <v>37</v>
      </c>
      <c r="L23" s="4">
        <v>40</v>
      </c>
      <c r="M23" s="4">
        <v>37</v>
      </c>
      <c r="N23" s="3">
        <v>29</v>
      </c>
      <c r="O23" s="9">
        <f>SUM(C23:N23)+O16</f>
        <v>1039</v>
      </c>
      <c r="AA23" s="15"/>
      <c r="AM23" s="15"/>
    </row>
    <row r="24" spans="2:75" x14ac:dyDescent="0.15">
      <c r="B24" s="16" t="s">
        <v>2</v>
      </c>
      <c r="C24" s="3">
        <v>27</v>
      </c>
      <c r="D24" s="4">
        <v>22</v>
      </c>
      <c r="E24" s="4">
        <v>42</v>
      </c>
      <c r="F24" s="4">
        <v>26</v>
      </c>
      <c r="G24" s="4">
        <v>47</v>
      </c>
      <c r="H24" s="4">
        <v>17</v>
      </c>
      <c r="I24" s="4">
        <v>40</v>
      </c>
      <c r="J24" s="4">
        <v>26</v>
      </c>
      <c r="K24" s="4">
        <v>38</v>
      </c>
      <c r="L24" s="4">
        <v>47</v>
      </c>
      <c r="M24" s="4">
        <v>15</v>
      </c>
      <c r="N24" s="3">
        <v>24</v>
      </c>
      <c r="O24" s="9">
        <f>SUM(C24:N24)+O17</f>
        <v>857</v>
      </c>
      <c r="AA24" s="15"/>
      <c r="AM24" s="15"/>
    </row>
    <row r="25" spans="2:75" x14ac:dyDescent="0.15">
      <c r="B25" s="16" t="s">
        <v>1</v>
      </c>
      <c r="C25" s="3">
        <v>6</v>
      </c>
      <c r="D25" s="4">
        <v>12</v>
      </c>
      <c r="E25" s="4">
        <v>10</v>
      </c>
      <c r="F25" s="4">
        <v>4</v>
      </c>
      <c r="G25" s="4">
        <v>5</v>
      </c>
      <c r="H25" s="4">
        <v>7</v>
      </c>
      <c r="I25" s="4">
        <v>15</v>
      </c>
      <c r="J25" s="4">
        <v>7</v>
      </c>
      <c r="K25" s="4">
        <v>7</v>
      </c>
      <c r="L25" s="4">
        <v>12</v>
      </c>
      <c r="M25" s="4">
        <v>14</v>
      </c>
      <c r="N25" s="3">
        <v>12</v>
      </c>
      <c r="O25" s="9">
        <f>SUM(C25:N25)+O18</f>
        <v>302</v>
      </c>
      <c r="AA25" s="15"/>
      <c r="AM25" s="15"/>
    </row>
    <row r="26" spans="2:75" ht="16.5" thickBot="1" x14ac:dyDescent="0.2">
      <c r="B26" s="17" t="s">
        <v>0</v>
      </c>
      <c r="C26" s="11">
        <v>34</v>
      </c>
      <c r="D26" s="10">
        <v>33</v>
      </c>
      <c r="E26" s="36">
        <v>46</v>
      </c>
      <c r="F26" s="10">
        <v>24</v>
      </c>
      <c r="G26" s="10">
        <v>31</v>
      </c>
      <c r="H26" s="10">
        <v>19</v>
      </c>
      <c r="I26" s="10">
        <v>42</v>
      </c>
      <c r="J26" s="10">
        <v>52</v>
      </c>
      <c r="K26" s="10">
        <v>37</v>
      </c>
      <c r="L26" s="10">
        <v>35</v>
      </c>
      <c r="M26" s="10">
        <v>27</v>
      </c>
      <c r="N26" s="11">
        <v>28</v>
      </c>
      <c r="O26" s="12">
        <f>SUM(C26:N26)+O19</f>
        <v>1159</v>
      </c>
      <c r="AA26" s="15"/>
      <c r="AM26" s="15"/>
    </row>
    <row r="27" spans="2:75" s="28" customFormat="1" ht="15" customHeight="1" x14ac:dyDescent="0.1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AA27" s="29"/>
      <c r="AM27" s="29"/>
    </row>
    <row r="28" spans="2:75" ht="29.25" customHeight="1" thickBot="1" x14ac:dyDescent="0.2">
      <c r="B28" s="19" t="s">
        <v>29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AA28" s="1"/>
      <c r="AM28" s="1"/>
      <c r="BW28" s="15"/>
    </row>
    <row r="29" spans="2:75" s="5" customFormat="1" x14ac:dyDescent="0.15">
      <c r="B29" s="13"/>
      <c r="C29" s="35" t="s">
        <v>21</v>
      </c>
      <c r="D29" s="35" t="s">
        <v>6</v>
      </c>
      <c r="E29" s="35" t="s">
        <v>7</v>
      </c>
      <c r="F29" s="35" t="s">
        <v>8</v>
      </c>
      <c r="G29" s="35" t="s">
        <v>9</v>
      </c>
      <c r="H29" s="35" t="s">
        <v>10</v>
      </c>
      <c r="I29" s="35" t="s">
        <v>11</v>
      </c>
      <c r="J29" s="35" t="s">
        <v>12</v>
      </c>
      <c r="K29" s="35" t="s">
        <v>13</v>
      </c>
      <c r="L29" s="35" t="s">
        <v>14</v>
      </c>
      <c r="M29" s="35" t="s">
        <v>18</v>
      </c>
      <c r="N29" s="35" t="s">
        <v>16</v>
      </c>
      <c r="O29" s="14" t="s">
        <v>15</v>
      </c>
      <c r="AA29" s="25"/>
      <c r="AM29" s="25"/>
    </row>
    <row r="30" spans="2:75" x14ac:dyDescent="0.15">
      <c r="B30" s="16" t="s">
        <v>3</v>
      </c>
      <c r="C30" s="4">
        <v>13</v>
      </c>
      <c r="D30" s="4">
        <v>16</v>
      </c>
      <c r="E30" s="4">
        <v>20</v>
      </c>
      <c r="F30" s="4">
        <v>22</v>
      </c>
      <c r="G30" s="4">
        <v>33</v>
      </c>
      <c r="H30" s="4">
        <v>35</v>
      </c>
      <c r="I30" s="4">
        <v>45</v>
      </c>
      <c r="J30" s="4">
        <v>27</v>
      </c>
      <c r="K30" s="4">
        <v>22</v>
      </c>
      <c r="L30" s="4">
        <v>33</v>
      </c>
      <c r="M30" s="4">
        <v>29</v>
      </c>
      <c r="N30" s="3">
        <v>29</v>
      </c>
      <c r="O30" s="9">
        <f>SUM(C30:N30)+O23</f>
        <v>1363</v>
      </c>
      <c r="AA30" s="15"/>
      <c r="AM30" s="15"/>
    </row>
    <row r="31" spans="2:75" x14ac:dyDescent="0.15">
      <c r="B31" s="16" t="s">
        <v>2</v>
      </c>
      <c r="C31" s="4">
        <v>11</v>
      </c>
      <c r="D31" s="4">
        <v>26</v>
      </c>
      <c r="E31" s="4">
        <v>15</v>
      </c>
      <c r="F31" s="4">
        <v>12</v>
      </c>
      <c r="G31" s="4">
        <v>33</v>
      </c>
      <c r="H31" s="4">
        <v>33</v>
      </c>
      <c r="I31" s="4">
        <v>47</v>
      </c>
      <c r="J31" s="4">
        <v>42</v>
      </c>
      <c r="K31" s="4">
        <v>31</v>
      </c>
      <c r="L31" s="4">
        <v>20</v>
      </c>
      <c r="M31" s="4">
        <v>28</v>
      </c>
      <c r="N31" s="3">
        <v>27</v>
      </c>
      <c r="O31" s="9">
        <f t="shared" ref="O31:O33" si="11">SUM(C31:N31)+O24</f>
        <v>1182</v>
      </c>
      <c r="AA31" s="15"/>
      <c r="AM31" s="15"/>
    </row>
    <row r="32" spans="2:75" x14ac:dyDescent="0.15">
      <c r="B32" s="16" t="s">
        <v>1</v>
      </c>
      <c r="C32" s="4">
        <v>12</v>
      </c>
      <c r="D32" s="4">
        <v>6</v>
      </c>
      <c r="E32" s="4">
        <v>1</v>
      </c>
      <c r="F32" s="4">
        <v>6</v>
      </c>
      <c r="G32" s="4">
        <v>5</v>
      </c>
      <c r="H32" s="4">
        <v>3</v>
      </c>
      <c r="I32" s="4">
        <v>10</v>
      </c>
      <c r="J32" s="4">
        <v>3</v>
      </c>
      <c r="K32" s="4">
        <v>12</v>
      </c>
      <c r="L32" s="4">
        <v>3</v>
      </c>
      <c r="M32" s="4">
        <v>3</v>
      </c>
      <c r="N32" s="3">
        <v>4</v>
      </c>
      <c r="O32" s="9">
        <f t="shared" si="11"/>
        <v>370</v>
      </c>
      <c r="AA32" s="15"/>
      <c r="AM32" s="15"/>
    </row>
    <row r="33" spans="2:75" ht="16.5" thickBot="1" x14ac:dyDescent="0.2">
      <c r="B33" s="17" t="s">
        <v>0</v>
      </c>
      <c r="C33" s="10">
        <v>24</v>
      </c>
      <c r="D33" s="10">
        <v>15</v>
      </c>
      <c r="E33" s="10">
        <v>13</v>
      </c>
      <c r="F33" s="10">
        <v>21</v>
      </c>
      <c r="G33" s="10">
        <v>27</v>
      </c>
      <c r="H33" s="10">
        <v>19</v>
      </c>
      <c r="I33" s="10">
        <v>61</v>
      </c>
      <c r="J33" s="10">
        <v>41</v>
      </c>
      <c r="K33" s="10">
        <v>18</v>
      </c>
      <c r="L33" s="10">
        <v>24</v>
      </c>
      <c r="M33" s="10">
        <v>17</v>
      </c>
      <c r="N33" s="11">
        <v>25</v>
      </c>
      <c r="O33" s="9">
        <f t="shared" si="11"/>
        <v>1464</v>
      </c>
      <c r="AA33" s="15"/>
      <c r="AM33" s="15"/>
    </row>
    <row r="34" spans="2:75" s="28" customFormat="1" ht="15" customHeight="1" x14ac:dyDescent="0.15">
      <c r="B34" s="26"/>
      <c r="F34" s="26"/>
      <c r="G34" s="26"/>
      <c r="H34" s="26"/>
      <c r="I34" s="26"/>
      <c r="J34" s="26"/>
      <c r="K34" s="26"/>
      <c r="M34" s="26"/>
      <c r="N34" s="26"/>
      <c r="O34" s="27"/>
      <c r="AA34" s="29"/>
      <c r="AM34" s="29"/>
    </row>
    <row r="35" spans="2:75" ht="29.25" customHeight="1" thickBot="1" x14ac:dyDescent="0.2">
      <c r="B35" s="19" t="s">
        <v>30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8"/>
      <c r="AA35" s="1"/>
      <c r="AM35" s="1"/>
      <c r="BW35" s="15"/>
    </row>
    <row r="36" spans="2:75" s="5" customFormat="1" x14ac:dyDescent="0.15">
      <c r="B36" s="13"/>
      <c r="C36" s="35" t="s">
        <v>21</v>
      </c>
      <c r="D36" s="35" t="s">
        <v>6</v>
      </c>
      <c r="E36" s="35" t="s">
        <v>7</v>
      </c>
      <c r="F36" s="35" t="s">
        <v>8</v>
      </c>
      <c r="G36" s="35" t="s">
        <v>9</v>
      </c>
      <c r="H36" s="35" t="s">
        <v>10</v>
      </c>
      <c r="I36" s="35" t="s">
        <v>11</v>
      </c>
      <c r="J36" s="35" t="s">
        <v>12</v>
      </c>
      <c r="K36" s="35" t="s">
        <v>13</v>
      </c>
      <c r="L36" s="35" t="s">
        <v>14</v>
      </c>
      <c r="M36" s="35" t="s">
        <v>18</v>
      </c>
      <c r="N36" s="35" t="s">
        <v>16</v>
      </c>
      <c r="O36" s="14" t="s">
        <v>15</v>
      </c>
      <c r="AA36" s="25"/>
      <c r="AM36" s="25"/>
    </row>
    <row r="37" spans="2:75" x14ac:dyDescent="0.15">
      <c r="B37" s="16" t="s">
        <v>3</v>
      </c>
      <c r="C37" s="4">
        <v>30</v>
      </c>
      <c r="D37" s="4">
        <v>32</v>
      </c>
      <c r="E37" s="4">
        <v>29</v>
      </c>
      <c r="F37" s="4">
        <v>48</v>
      </c>
      <c r="G37" s="4">
        <v>39</v>
      </c>
      <c r="H37" s="4">
        <v>39</v>
      </c>
      <c r="I37" s="4">
        <v>41</v>
      </c>
      <c r="J37" s="4">
        <v>30</v>
      </c>
      <c r="K37" s="4">
        <v>38</v>
      </c>
      <c r="L37" s="4">
        <v>30</v>
      </c>
      <c r="M37" s="4">
        <v>23</v>
      </c>
      <c r="N37" s="3">
        <v>25</v>
      </c>
      <c r="O37" s="9">
        <f>SUM(C37:N37)+O30</f>
        <v>1767</v>
      </c>
      <c r="AA37" s="15"/>
      <c r="AM37" s="15"/>
    </row>
    <row r="38" spans="2:75" x14ac:dyDescent="0.15">
      <c r="B38" s="16" t="s">
        <v>2</v>
      </c>
      <c r="C38" s="4">
        <v>26</v>
      </c>
      <c r="D38" s="4">
        <v>31</v>
      </c>
      <c r="E38" s="4">
        <v>21</v>
      </c>
      <c r="F38" s="4">
        <v>47</v>
      </c>
      <c r="G38" s="4">
        <v>30</v>
      </c>
      <c r="H38" s="4">
        <v>38</v>
      </c>
      <c r="I38" s="4">
        <v>37</v>
      </c>
      <c r="J38" s="4">
        <v>33</v>
      </c>
      <c r="K38" s="4">
        <v>27</v>
      </c>
      <c r="L38" s="4">
        <v>27</v>
      </c>
      <c r="M38" s="4">
        <v>22</v>
      </c>
      <c r="N38" s="3">
        <v>22</v>
      </c>
      <c r="O38" s="9">
        <f t="shared" ref="O38:O40" si="12">SUM(C38:N38)+O31</f>
        <v>1543</v>
      </c>
      <c r="AA38" s="15"/>
      <c r="AM38" s="15"/>
    </row>
    <row r="39" spans="2:75" x14ac:dyDescent="0.15">
      <c r="B39" s="16" t="s">
        <v>1</v>
      </c>
      <c r="C39" s="4">
        <v>8</v>
      </c>
      <c r="D39" s="4">
        <v>3</v>
      </c>
      <c r="E39" s="4">
        <v>1</v>
      </c>
      <c r="F39" s="4">
        <v>4</v>
      </c>
      <c r="G39" s="4">
        <v>7</v>
      </c>
      <c r="H39" s="4">
        <v>7</v>
      </c>
      <c r="I39" s="4">
        <v>6</v>
      </c>
      <c r="J39" s="4">
        <v>6</v>
      </c>
      <c r="K39" s="4">
        <v>2</v>
      </c>
      <c r="L39" s="4">
        <v>3</v>
      </c>
      <c r="M39" s="4">
        <v>6</v>
      </c>
      <c r="N39" s="3">
        <v>5</v>
      </c>
      <c r="O39" s="9">
        <f t="shared" si="12"/>
        <v>428</v>
      </c>
      <c r="AA39" s="15"/>
      <c r="AM39" s="15"/>
    </row>
    <row r="40" spans="2:75" ht="16.5" thickBot="1" x14ac:dyDescent="0.2">
      <c r="B40" s="17" t="s">
        <v>0</v>
      </c>
      <c r="C40" s="10">
        <v>38</v>
      </c>
      <c r="D40" s="10">
        <v>27</v>
      </c>
      <c r="E40" s="10">
        <v>13</v>
      </c>
      <c r="F40" s="10">
        <v>48</v>
      </c>
      <c r="G40" s="10">
        <v>31</v>
      </c>
      <c r="H40" s="10">
        <v>18</v>
      </c>
      <c r="I40" s="10">
        <v>23</v>
      </c>
      <c r="J40" s="10">
        <v>27</v>
      </c>
      <c r="K40" s="10">
        <v>20</v>
      </c>
      <c r="L40" s="10">
        <v>23</v>
      </c>
      <c r="M40" s="10">
        <v>18</v>
      </c>
      <c r="N40" s="11">
        <v>11</v>
      </c>
      <c r="O40" s="9">
        <f t="shared" si="12"/>
        <v>1761</v>
      </c>
      <c r="AA40" s="15"/>
      <c r="AM40" s="15"/>
    </row>
    <row r="41" spans="2:75" s="28" customFormat="1" ht="15" customHeight="1" x14ac:dyDescent="0.15">
      <c r="B41" s="26"/>
      <c r="C41" s="26"/>
      <c r="D41" s="26"/>
      <c r="E41" s="26"/>
      <c r="F41" s="26"/>
      <c r="G41" s="26"/>
      <c r="H41" s="26"/>
      <c r="I41" s="26"/>
      <c r="J41" s="26"/>
      <c r="K41" s="26"/>
      <c r="N41" s="26"/>
      <c r="O41" s="27"/>
      <c r="AA41" s="29"/>
      <c r="AM41" s="29"/>
    </row>
    <row r="42" spans="2:75" ht="29.25" customHeight="1" thickBot="1" x14ac:dyDescent="0.2">
      <c r="B42" s="19" t="s">
        <v>31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8"/>
      <c r="AA42" s="1"/>
      <c r="AM42" s="1"/>
      <c r="BW42" s="15"/>
    </row>
    <row r="43" spans="2:75" s="5" customFormat="1" x14ac:dyDescent="0.15">
      <c r="B43" s="13"/>
      <c r="C43" s="35" t="s">
        <v>21</v>
      </c>
      <c r="D43" s="35" t="s">
        <v>6</v>
      </c>
      <c r="E43" s="35" t="s">
        <v>7</v>
      </c>
      <c r="F43" s="35" t="s">
        <v>8</v>
      </c>
      <c r="G43" s="35" t="s">
        <v>9</v>
      </c>
      <c r="H43" s="35" t="s">
        <v>10</v>
      </c>
      <c r="I43" s="35" t="s">
        <v>11</v>
      </c>
      <c r="J43" s="35" t="s">
        <v>12</v>
      </c>
      <c r="K43" s="35" t="s">
        <v>13</v>
      </c>
      <c r="L43" s="35" t="s">
        <v>14</v>
      </c>
      <c r="M43" s="35" t="s">
        <v>18</v>
      </c>
      <c r="N43" s="35" t="s">
        <v>16</v>
      </c>
      <c r="O43" s="14" t="s">
        <v>15</v>
      </c>
      <c r="AA43" s="25"/>
      <c r="AM43" s="25"/>
    </row>
    <row r="44" spans="2:75" x14ac:dyDescent="0.15">
      <c r="B44" s="16" t="s">
        <v>3</v>
      </c>
      <c r="C44" s="4">
        <v>31</v>
      </c>
      <c r="D44" s="4">
        <v>28</v>
      </c>
      <c r="E44" s="4">
        <v>33</v>
      </c>
      <c r="F44" s="4">
        <v>38</v>
      </c>
      <c r="G44" s="4">
        <v>30</v>
      </c>
      <c r="H44" s="4">
        <v>26</v>
      </c>
      <c r="I44" s="4">
        <v>28</v>
      </c>
      <c r="J44" s="4">
        <v>39</v>
      </c>
      <c r="K44" s="4">
        <v>34</v>
      </c>
      <c r="L44" s="4">
        <v>18</v>
      </c>
      <c r="M44" s="4">
        <v>25</v>
      </c>
      <c r="N44" s="3">
        <v>21</v>
      </c>
      <c r="O44" s="9">
        <f>SUM(C44:N44)+O37</f>
        <v>2118</v>
      </c>
      <c r="AA44" s="15"/>
      <c r="AM44" s="15"/>
    </row>
    <row r="45" spans="2:75" x14ac:dyDescent="0.15">
      <c r="B45" s="16" t="s">
        <v>2</v>
      </c>
      <c r="C45" s="4">
        <v>26</v>
      </c>
      <c r="D45" s="4">
        <v>33</v>
      </c>
      <c r="E45" s="4">
        <v>31</v>
      </c>
      <c r="F45" s="4">
        <v>28</v>
      </c>
      <c r="G45" s="4">
        <v>35</v>
      </c>
      <c r="H45" s="4">
        <v>23</v>
      </c>
      <c r="I45" s="4">
        <v>26</v>
      </c>
      <c r="J45" s="4">
        <v>35</v>
      </c>
      <c r="K45" s="4">
        <v>21</v>
      </c>
      <c r="L45" s="4">
        <v>20</v>
      </c>
      <c r="M45" s="4">
        <v>19</v>
      </c>
      <c r="N45" s="3">
        <v>27</v>
      </c>
      <c r="O45" s="9">
        <f>SUM(C45:N45)+O37</f>
        <v>2091</v>
      </c>
      <c r="AA45" s="15"/>
      <c r="AM45" s="15"/>
    </row>
    <row r="46" spans="2:75" x14ac:dyDescent="0.15">
      <c r="B46" s="16" t="s">
        <v>28</v>
      </c>
      <c r="C46" s="4"/>
      <c r="D46" s="4"/>
      <c r="E46" s="4"/>
      <c r="F46" s="4"/>
      <c r="G46" s="4"/>
      <c r="H46" s="4"/>
      <c r="I46" s="4"/>
      <c r="J46" s="4"/>
      <c r="K46" s="4">
        <v>6</v>
      </c>
      <c r="L46" s="4">
        <v>3</v>
      </c>
      <c r="M46" s="4">
        <v>4</v>
      </c>
      <c r="N46" s="3">
        <v>5</v>
      </c>
      <c r="O46" s="9">
        <f>SUM(C46:N46)</f>
        <v>18</v>
      </c>
      <c r="AA46" s="15"/>
      <c r="AM46" s="15"/>
    </row>
    <row r="47" spans="2:75" x14ac:dyDescent="0.15">
      <c r="B47" s="16" t="s">
        <v>1</v>
      </c>
      <c r="C47" s="4">
        <v>9</v>
      </c>
      <c r="D47" s="4">
        <v>6</v>
      </c>
      <c r="E47" s="4">
        <v>8</v>
      </c>
      <c r="F47" s="4">
        <v>3</v>
      </c>
      <c r="G47" s="4">
        <v>3</v>
      </c>
      <c r="H47" s="4">
        <v>3</v>
      </c>
      <c r="I47" s="4">
        <v>9</v>
      </c>
      <c r="J47" s="4">
        <v>5</v>
      </c>
      <c r="K47" s="4">
        <v>3</v>
      </c>
      <c r="L47" s="4"/>
      <c r="M47" s="4">
        <v>7</v>
      </c>
      <c r="N47" s="3">
        <v>1</v>
      </c>
      <c r="O47" s="9">
        <f>SUM(C47:N47)+O39</f>
        <v>485</v>
      </c>
      <c r="AA47" s="15"/>
      <c r="AM47" s="15"/>
    </row>
    <row r="48" spans="2:75" ht="16.5" thickBot="1" x14ac:dyDescent="0.2">
      <c r="B48" s="17" t="s">
        <v>0</v>
      </c>
      <c r="C48" s="10">
        <v>20</v>
      </c>
      <c r="D48" s="10">
        <v>19</v>
      </c>
      <c r="E48" s="10">
        <v>10</v>
      </c>
      <c r="F48" s="10">
        <v>6</v>
      </c>
      <c r="G48" s="10">
        <v>14</v>
      </c>
      <c r="H48" s="10">
        <v>14</v>
      </c>
      <c r="I48" s="10">
        <v>9</v>
      </c>
      <c r="J48" s="10">
        <v>11</v>
      </c>
      <c r="K48" s="10">
        <v>15</v>
      </c>
      <c r="L48" s="10">
        <v>5</v>
      </c>
      <c r="M48" s="10">
        <v>22</v>
      </c>
      <c r="N48" s="11">
        <v>30</v>
      </c>
      <c r="O48" s="9">
        <f>SUM(C48:N48)+O40</f>
        <v>1936</v>
      </c>
      <c r="AA48" s="15"/>
      <c r="AM48" s="15"/>
    </row>
    <row r="49" spans="2:39" s="28" customFormat="1" ht="15" customHeight="1" x14ac:dyDescent="0.15">
      <c r="B49" s="26"/>
      <c r="C49" s="26"/>
      <c r="D49" s="26"/>
      <c r="E49" s="26"/>
      <c r="F49" s="26"/>
      <c r="G49" s="43"/>
      <c r="H49" s="26"/>
      <c r="I49" s="26"/>
      <c r="J49" s="26"/>
      <c r="K49" s="26"/>
      <c r="N49" s="28" t="s">
        <v>32</v>
      </c>
      <c r="O49" s="27"/>
      <c r="AA49" s="29"/>
      <c r="AM49" s="29"/>
    </row>
    <row r="50" spans="2:39" s="21" customFormat="1" ht="7.5" customHeight="1" x14ac:dyDescent="0.15">
      <c r="C50" s="22"/>
      <c r="D50" s="22"/>
      <c r="E50" s="22"/>
      <c r="F50" s="22"/>
      <c r="J50" s="22"/>
      <c r="K50" s="22"/>
      <c r="L50" s="22"/>
      <c r="M50" s="22"/>
      <c r="O50" s="23"/>
      <c r="AA50" s="23"/>
      <c r="AM50" s="23"/>
    </row>
    <row r="51" spans="2:39" x14ac:dyDescent="0.15">
      <c r="AA51" s="15"/>
      <c r="AM51" s="15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38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キャセロール</vt:lpstr>
      <vt:lpstr>キャセロール (2)</vt:lpstr>
      <vt:lpstr>キャセロール!Print_Area</vt:lpstr>
      <vt:lpstr>'キャセロール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2025-07-29T01:28:48Z</cp:lastPrinted>
  <dcterms:created xsi:type="dcterms:W3CDTF">2018-10-31T01:29:45Z</dcterms:created>
  <dcterms:modified xsi:type="dcterms:W3CDTF">2026-04-27T01:26:11Z</dcterms:modified>
</cp:coreProperties>
</file>