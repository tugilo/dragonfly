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ILC-12\Desktop\ファボローネ解析データ\2026年4月分\2026年4月ファボローネ解析\静岡ファボローネ\"/>
    </mc:Choice>
  </mc:AlternateContent>
  <bookViews>
    <workbookView xWindow="0" yWindow="0" windowWidth="27675" windowHeight="12060"/>
  </bookViews>
  <sheets>
    <sheet name="ラーメン塩司" sheetId="1" r:id="rId1"/>
    <sheet name="ラーメン塩司 (2)" sheetId="2" r:id="rId2"/>
  </sheets>
  <definedNames>
    <definedName name="_xlnm.Print_Area" localSheetId="0">ラーメン塩司!$A$16:$P$31</definedName>
    <definedName name="_xlnm.Print_Area" localSheetId="1">'ラーメン塩司 (2)'!$A$8:$P$54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0" i="1" l="1"/>
  <c r="O29" i="1"/>
  <c r="O28" i="1"/>
  <c r="O27" i="1"/>
  <c r="O26" i="1"/>
  <c r="O22" i="1" l="1"/>
  <c r="O21" i="1"/>
  <c r="O20" i="1"/>
  <c r="O19" i="1"/>
  <c r="O18" i="1"/>
  <c r="O14" i="2" l="1"/>
  <c r="O13" i="2"/>
  <c r="O12" i="2"/>
  <c r="O11" i="2"/>
  <c r="O10" i="2"/>
  <c r="N6" i="2"/>
  <c r="M6" i="2"/>
  <c r="L6" i="2"/>
  <c r="K6" i="2"/>
  <c r="J6" i="2"/>
  <c r="I6" i="2"/>
  <c r="H6" i="2"/>
  <c r="G6" i="2"/>
  <c r="F6" i="2"/>
  <c r="E6" i="2"/>
  <c r="D6" i="2"/>
  <c r="C6" i="2"/>
  <c r="AA6" i="2" s="1"/>
  <c r="AA5" i="2"/>
  <c r="N4" i="2"/>
  <c r="M4" i="2"/>
  <c r="L4" i="2"/>
  <c r="K4" i="2"/>
  <c r="J4" i="2"/>
  <c r="I4" i="2"/>
  <c r="H4" i="2"/>
  <c r="G4" i="2"/>
  <c r="F4" i="2"/>
  <c r="E4" i="2"/>
  <c r="D4" i="2"/>
  <c r="C4" i="2"/>
  <c r="AA4" i="2" s="1"/>
  <c r="N3" i="2"/>
  <c r="M3" i="2"/>
  <c r="L3" i="2"/>
  <c r="K3" i="2"/>
  <c r="J3" i="2"/>
  <c r="I3" i="2"/>
  <c r="H3" i="2"/>
  <c r="G3" i="2"/>
  <c r="F3" i="2"/>
  <c r="E3" i="2"/>
  <c r="D3" i="2"/>
  <c r="C3" i="2"/>
  <c r="AA3" i="2" s="1"/>
  <c r="N2" i="2"/>
  <c r="M2" i="2"/>
  <c r="L2" i="2"/>
  <c r="K2" i="2"/>
  <c r="J2" i="2"/>
  <c r="I2" i="2"/>
  <c r="H2" i="2"/>
  <c r="G2" i="2"/>
  <c r="F2" i="2"/>
  <c r="E2" i="2"/>
  <c r="D2" i="2"/>
  <c r="C2" i="2"/>
  <c r="AA2" i="2" s="1"/>
  <c r="AA5" i="1"/>
  <c r="O13" i="1"/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6" i="1"/>
  <c r="E6" i="1"/>
  <c r="F6" i="1"/>
  <c r="G6" i="1"/>
  <c r="H6" i="1"/>
  <c r="I6" i="1"/>
  <c r="J6" i="1"/>
  <c r="K6" i="1"/>
  <c r="L6" i="1"/>
  <c r="M6" i="1"/>
  <c r="N6" i="1"/>
  <c r="C3" i="1"/>
  <c r="C4" i="1"/>
  <c r="C6" i="1"/>
  <c r="C2" i="1"/>
  <c r="AA4" i="1" l="1"/>
  <c r="AA6" i="1"/>
  <c r="AA2" i="1"/>
  <c r="AA3" i="1"/>
  <c r="O14" i="1"/>
  <c r="O12" i="1"/>
  <c r="O11" i="1"/>
  <c r="O10" i="1"/>
</calcChain>
</file>

<file path=xl/sharedStrings.xml><?xml version="1.0" encoding="utf-8"?>
<sst xmlns="http://schemas.openxmlformats.org/spreadsheetml/2006/main" count="138" uniqueCount="27">
  <si>
    <t>アプリDL</t>
    <phoneticPr fontId="2"/>
  </si>
  <si>
    <t>友達紹介</t>
    <rPh sb="0" eb="2">
      <t>トモダチ</t>
    </rPh>
    <rPh sb="2" eb="4">
      <t>ショウカイ</t>
    </rPh>
    <phoneticPr fontId="2"/>
  </si>
  <si>
    <t>クーポン</t>
    <phoneticPr fontId="2"/>
  </si>
  <si>
    <t>スタンプ</t>
    <phoneticPr fontId="2"/>
  </si>
  <si>
    <t>合計</t>
    <rPh sb="0" eb="2">
      <t>ゴウケイ</t>
    </rPh>
    <phoneticPr fontId="2"/>
  </si>
  <si>
    <t>4月</t>
  </si>
  <si>
    <t>3月</t>
  </si>
  <si>
    <t>2月</t>
  </si>
  <si>
    <t>12月</t>
  </si>
  <si>
    <t>5月</t>
  </si>
  <si>
    <t>7月</t>
  </si>
  <si>
    <t>8月</t>
  </si>
  <si>
    <t>9月</t>
  </si>
  <si>
    <t>6月</t>
  </si>
  <si>
    <t>2023年10月～2024年9月</t>
    <rPh sb="4" eb="5">
      <t>ネン</t>
    </rPh>
    <rPh sb="7" eb="8">
      <t>ガツ</t>
    </rPh>
    <rPh sb="13" eb="14">
      <t>ネン</t>
    </rPh>
    <rPh sb="15" eb="16">
      <t>ガツ</t>
    </rPh>
    <phoneticPr fontId="2"/>
  </si>
  <si>
    <t>11月</t>
    <phoneticPr fontId="2"/>
  </si>
  <si>
    <t>10月</t>
  </si>
  <si>
    <t>2024/1月</t>
    <phoneticPr fontId="2"/>
  </si>
  <si>
    <t>スタンプクーポン</t>
    <phoneticPr fontId="2"/>
  </si>
  <si>
    <t>5/26～6/25</t>
    <phoneticPr fontId="2"/>
  </si>
  <si>
    <t>閲覧数</t>
    <rPh sb="0" eb="2">
      <t>エツラン</t>
    </rPh>
    <rPh sb="2" eb="3">
      <t>スウ</t>
    </rPh>
    <phoneticPr fontId="2"/>
  </si>
  <si>
    <t>閲覧数</t>
    <rPh sb="0" eb="3">
      <t>エツランスウ</t>
    </rPh>
    <phoneticPr fontId="2"/>
  </si>
  <si>
    <t>2023年11月～2024年10月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</si>
  <si>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2024年11月～2025年10月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</si>
  <si>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2025年11月～2026年10月</t>
    <rPh sb="4" eb="5">
      <t>ネン</t>
    </rPh>
    <rPh sb="7" eb="8">
      <t>ガツ</t>
    </rPh>
    <rPh sb="13" eb="14">
      <t>ネン</t>
    </rPh>
    <rPh sb="16" eb="17">
      <t>ガツ</t>
    </rPh>
    <phoneticPr fontId="2"/>
  </si>
  <si>
    <t>2025/1月</t>
    <phoneticPr fontId="2"/>
  </si>
  <si>
    <t>3/26～4/25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</si>
</sst>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Meiryo UI"/>
      <family val="3"/>
      <charset val="128"/>
    </font>
    <font>
      <sz val="11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56" fontId="3" fillId="0" borderId="0" xfId="0" applyNumberFormat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1" fillId="0" borderId="4" xfId="0" applyFont="1" applyBorder="1">
      <alignment vertical="center"/>
    </xf>
    <xf numFmtId="38" fontId="1" fillId="0" borderId="1" xfId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6699"/>
      <color rgb="FFFF66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'ラーメン塩司 (2)'!$B$8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'ラーメン塩司 (2)'!$C$9:$N$9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2024/1月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'ラーメン塩司 (2)'!$C$10:$N$10</c:f>
              <c:numCache>
                <c:formatCode>General</c:formatCode>
                <c:ptCount val="12"/>
                <c:pt idx="0">
                  <c:v>153</c:v>
                </c:pt>
                <c:pt idx="1">
                  <c:v>109</c:v>
                </c:pt>
                <c:pt idx="2">
                  <c:v>88</c:v>
                </c:pt>
                <c:pt idx="3">
                  <c:v>125</c:v>
                </c:pt>
                <c:pt idx="4">
                  <c:v>80</c:v>
                </c:pt>
                <c:pt idx="5">
                  <c:v>89</c:v>
                </c:pt>
                <c:pt idx="6">
                  <c:v>62</c:v>
                </c:pt>
                <c:pt idx="7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54-45A4-94E1-7453D3136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60928"/>
        <c:axId val="475663280"/>
        <c:extLst xmlns:c16r2="http://schemas.microsoft.com/office/drawing/2015/06/chart"/>
      </c:barChart>
      <c:catAx>
        <c:axId val="475660928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3280"/>
        <c:crosses val="autoZero"/>
        <c:auto val="1"/>
        <c:lblAlgn val="ctr"/>
        <c:lblOffset val="100"/>
        <c:noMultiLvlLbl val="0"/>
      </c:catAx>
      <c:valAx>
        <c:axId val="47566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052027329063029"/>
          <c:y val="5.5842946957211745E-2"/>
          <c:w val="0.26500668535236349"/>
          <c:h val="0.13422938411768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アプリＤＬ</a:t>
            </a:r>
            <a:r>
              <a:rPr lang="ja-JP"/>
              <a:t>　データ解析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41712272443142301"/>
          <c:y val="2.41502563723358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12657174273880911"/>
          <c:w val="0.95392735987053001"/>
          <c:h val="0.65098711614498384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'ラーメン塩司 (2)'!$B$6</c:f>
              <c:strCache>
                <c:ptCount val="1"/>
                <c:pt idx="0">
                  <c:v>アプリDL</c:v>
                </c:pt>
              </c:strCache>
            </c:strRef>
          </c:tx>
          <c:spPr>
            <a:solidFill>
              <a:srgbClr val="FF6699"/>
            </a:solidFill>
            <a:ln>
              <a:noFill/>
            </a:ln>
            <a:effectLst/>
          </c:spPr>
          <c:invertIfNegative val="0"/>
          <c:cat>
            <c:strRef>
              <c:f>'ラーメン塩司 (2)'!$C$9:$N$9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2024/1月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'ラーメン塩司 (2)'!$C$6:$N$6</c:f>
              <c:numCache>
                <c:formatCode>General</c:formatCode>
                <c:ptCount val="12"/>
                <c:pt idx="0">
                  <c:v>361</c:v>
                </c:pt>
                <c:pt idx="1">
                  <c:v>132</c:v>
                </c:pt>
                <c:pt idx="2">
                  <c:v>119</c:v>
                </c:pt>
                <c:pt idx="3">
                  <c:v>113</c:v>
                </c:pt>
                <c:pt idx="4">
                  <c:v>55</c:v>
                </c:pt>
                <c:pt idx="5">
                  <c:v>71</c:v>
                </c:pt>
                <c:pt idx="6">
                  <c:v>55</c:v>
                </c:pt>
                <c:pt idx="7">
                  <c:v>47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6A5-4401-9488-4CD82ACEC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59360"/>
        <c:axId val="475660144"/>
        <c:extLst xmlns:c16r2="http://schemas.microsoft.com/office/drawing/2015/06/chart"/>
      </c:barChart>
      <c:catAx>
        <c:axId val="47565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0144"/>
        <c:crosses val="autoZero"/>
        <c:auto val="1"/>
        <c:lblAlgn val="ctr"/>
        <c:lblOffset val="100"/>
        <c:noMultiLvlLbl val="0"/>
      </c:catAx>
      <c:valAx>
        <c:axId val="47566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5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r>
              <a:rPr lang="en-US"/>
              <a:t>【</a:t>
            </a:r>
            <a:r>
              <a:rPr lang="ja-JP" altLang="en-US"/>
              <a:t>　スタンプクーポン　</a:t>
            </a:r>
            <a:r>
              <a:rPr lang="ja-JP"/>
              <a:t>データ解析</a:t>
            </a:r>
            <a:r>
              <a:rPr lang="ja-JP" altLang="en-US"/>
              <a:t>　</a:t>
            </a:r>
            <a:r>
              <a:rPr lang="en-US"/>
              <a:t>】</a:t>
            </a:r>
            <a:endParaRPr lang="ja-JP"/>
          </a:p>
        </c:rich>
      </c:tx>
      <c:layout>
        <c:manualLayout>
          <c:xMode val="edge"/>
          <c:yMode val="edge"/>
          <c:x val="0.17869855479683297"/>
          <c:y val="4.0175958005249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3.1579886506281574E-2"/>
          <c:y val="0.21810416277826461"/>
          <c:w val="0.95392735987053001"/>
          <c:h val="0.65055431478183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'ラーメン塩司 (2)'!$B$8</c:f>
              <c:strCache>
                <c:ptCount val="1"/>
                <c:pt idx="0">
                  <c:v>2023年10月～2024年9月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'ラーメン塩司 (2)'!$C$9:$N$9</c:f>
              <c:strCache>
                <c:ptCount val="12"/>
                <c:pt idx="0">
                  <c:v>11月</c:v>
                </c:pt>
                <c:pt idx="1">
                  <c:v>12月</c:v>
                </c:pt>
                <c:pt idx="2">
                  <c:v>2024/1月</c:v>
                </c:pt>
                <c:pt idx="3">
                  <c:v>2月</c:v>
                </c:pt>
                <c:pt idx="4">
                  <c:v>3月</c:v>
                </c:pt>
                <c:pt idx="5">
                  <c:v>4月</c:v>
                </c:pt>
                <c:pt idx="6">
                  <c:v>5月</c:v>
                </c:pt>
                <c:pt idx="7">
                  <c:v>6月</c:v>
                </c:pt>
                <c:pt idx="8">
                  <c:v>7月</c:v>
                </c:pt>
                <c:pt idx="9">
                  <c:v>8月</c:v>
                </c:pt>
                <c:pt idx="10">
                  <c:v>9月</c:v>
                </c:pt>
                <c:pt idx="11">
                  <c:v>10月</c:v>
                </c:pt>
              </c:strCache>
            </c:strRef>
          </c:cat>
          <c:val>
            <c:numRef>
              <c:f>'ラーメン塩司 (2)'!$C$11:$N$11</c:f>
              <c:numCache>
                <c:formatCode>General</c:formatCode>
                <c:ptCount val="12"/>
                <c:pt idx="4">
                  <c:v>9</c:v>
                </c:pt>
                <c:pt idx="5">
                  <c:v>6</c:v>
                </c:pt>
                <c:pt idx="6">
                  <c:v>8</c:v>
                </c:pt>
                <c:pt idx="7">
                  <c:v>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DD-4D86-9CDF-745650504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5662496"/>
        <c:axId val="472753864"/>
        <c:extLst xmlns:c16r2="http://schemas.microsoft.com/office/drawing/2015/06/chart"/>
      </c:barChart>
      <c:catAx>
        <c:axId val="475662496"/>
        <c:scaling>
          <c:orientation val="minMax"/>
        </c:scaling>
        <c:delete val="0"/>
        <c:axPos val="b"/>
        <c:numFmt formatCode="yyyy&quot;年&quot;m&quot;月&quot;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2753864"/>
        <c:crosses val="autoZero"/>
        <c:auto val="1"/>
        <c:lblAlgn val="ctr"/>
        <c:lblOffset val="100"/>
        <c:noMultiLvlLbl val="0"/>
      </c:catAx>
      <c:valAx>
        <c:axId val="472753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47566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360532495764894"/>
          <c:y val="5.5842993143289783E-2"/>
          <c:w val="0.2742339860578652"/>
          <c:h val="0.1338403541680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16</xdr:row>
      <xdr:rowOff>38100</xdr:rowOff>
    </xdr:from>
    <xdr:to>
      <xdr:col>7</xdr:col>
      <xdr:colOff>895351</xdr:colOff>
      <xdr:row>32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="" xmlns:a16="http://schemas.microsoft.com/office/drawing/2014/main" id="{4A1DF526-CBE2-42F6-B620-D2A2AF50F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285750</xdr:colOff>
      <xdr:row>33</xdr:row>
      <xdr:rowOff>19049</xdr:rowOff>
    </xdr:from>
    <xdr:to>
      <xdr:col>15</xdr:col>
      <xdr:colOff>609600</xdr:colOff>
      <xdr:row>52</xdr:row>
      <xdr:rowOff>180975</xdr:rowOff>
    </xdr:to>
    <xdr:graphicFrame macro="">
      <xdr:nvGraphicFramePr>
        <xdr:cNvPr id="3" name="グラフ 2">
          <a:extLst>
            <a:ext uri="{FF2B5EF4-FFF2-40B4-BE49-F238E27FC236}">
              <a16:creationId xmlns="" xmlns:a16="http://schemas.microsoft.com/office/drawing/2014/main" id="{7647B84B-651D-4A53-B106-93575003DF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133351</xdr:colOff>
      <xdr:row>16</xdr:row>
      <xdr:rowOff>38100</xdr:rowOff>
    </xdr:from>
    <xdr:to>
      <xdr:col>15</xdr:col>
      <xdr:colOff>609601</xdr:colOff>
      <xdr:row>32</xdr:row>
      <xdr:rowOff>123824</xdr:rowOff>
    </xdr:to>
    <xdr:graphicFrame macro="">
      <xdr:nvGraphicFramePr>
        <xdr:cNvPr id="4" name="グラフ 3">
          <a:extLst>
            <a:ext uri="{FF2B5EF4-FFF2-40B4-BE49-F238E27FC236}">
              <a16:creationId xmlns="" xmlns:a16="http://schemas.microsoft.com/office/drawing/2014/main" id="{F117DB2A-7E77-43AD-8611-076B6C1C2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31"/>
  <sheetViews>
    <sheetView tabSelected="1" topLeftCell="A10" zoomScaleNormal="100" workbookViewId="0">
      <selection activeCell="H31" sqref="H31"/>
    </sheetView>
  </sheetViews>
  <sheetFormatPr defaultColWidth="12" defaultRowHeight="15.75" x14ac:dyDescent="0.15"/>
  <cols>
    <col min="1" max="1" width="12" style="1"/>
    <col min="2" max="2" width="13.125" style="1" customWidth="1"/>
    <col min="3" max="16384" width="12" style="1"/>
  </cols>
  <sheetData>
    <row r="1" spans="2:27" s="5" customFormat="1" x14ac:dyDescent="0.15">
      <c r="B1" s="7"/>
      <c r="C1" s="7" t="s">
        <v>15</v>
      </c>
      <c r="D1" s="7" t="s">
        <v>8</v>
      </c>
      <c r="E1" s="7" t="s">
        <v>17</v>
      </c>
      <c r="F1" s="7" t="s">
        <v>7</v>
      </c>
      <c r="G1" s="7" t="s">
        <v>6</v>
      </c>
      <c r="H1" s="7" t="s">
        <v>5</v>
      </c>
      <c r="I1" s="7" t="s">
        <v>9</v>
      </c>
      <c r="J1" s="7" t="s">
        <v>13</v>
      </c>
      <c r="K1" s="7" t="s">
        <v>10</v>
      </c>
      <c r="L1" s="7" t="s">
        <v>11</v>
      </c>
      <c r="M1" s="7" t="s">
        <v>12</v>
      </c>
      <c r="N1" s="7" t="s">
        <v>16</v>
      </c>
      <c r="O1" s="7" t="s">
        <v>15</v>
      </c>
      <c r="P1" s="7" t="s">
        <v>8</v>
      </c>
      <c r="Q1" s="7" t="s">
        <v>17</v>
      </c>
      <c r="R1" s="7" t="s">
        <v>7</v>
      </c>
      <c r="S1" s="7" t="s">
        <v>6</v>
      </c>
      <c r="T1" s="7" t="s">
        <v>5</v>
      </c>
      <c r="U1" s="7" t="s">
        <v>9</v>
      </c>
      <c r="V1" s="7" t="s">
        <v>13</v>
      </c>
      <c r="W1" s="7" t="s">
        <v>10</v>
      </c>
      <c r="X1" s="7" t="s">
        <v>11</v>
      </c>
      <c r="Y1" s="7" t="s">
        <v>12</v>
      </c>
      <c r="Z1" s="7" t="s">
        <v>16</v>
      </c>
      <c r="AA1" s="6" t="s">
        <v>4</v>
      </c>
    </row>
    <row r="2" spans="2:27" x14ac:dyDescent="0.15">
      <c r="B2" s="4" t="s">
        <v>3</v>
      </c>
      <c r="C2" s="4">
        <f>C10</f>
        <v>153</v>
      </c>
      <c r="D2" s="4">
        <f t="shared" ref="D2:N2" si="0">D10</f>
        <v>109</v>
      </c>
      <c r="E2" s="4">
        <f t="shared" si="0"/>
        <v>88</v>
      </c>
      <c r="F2" s="4">
        <f t="shared" si="0"/>
        <v>125</v>
      </c>
      <c r="G2" s="4">
        <f t="shared" si="0"/>
        <v>80</v>
      </c>
      <c r="H2" s="4">
        <f t="shared" si="0"/>
        <v>89</v>
      </c>
      <c r="I2" s="4">
        <f t="shared" si="0"/>
        <v>62</v>
      </c>
      <c r="J2" s="4">
        <f t="shared" si="0"/>
        <v>62</v>
      </c>
      <c r="K2" s="4">
        <f t="shared" si="0"/>
        <v>69</v>
      </c>
      <c r="L2" s="4">
        <f t="shared" si="0"/>
        <v>97</v>
      </c>
      <c r="M2" s="4">
        <f t="shared" si="0"/>
        <v>95</v>
      </c>
      <c r="N2" s="4">
        <f t="shared" si="0"/>
        <v>125</v>
      </c>
      <c r="O2" s="4"/>
      <c r="P2" s="4"/>
      <c r="Q2" s="4"/>
      <c r="R2" s="4"/>
      <c r="S2" s="4"/>
      <c r="T2" s="4"/>
      <c r="U2" s="4"/>
      <c r="V2" s="4"/>
      <c r="W2" s="4"/>
      <c r="X2" s="4"/>
      <c r="Y2" s="3"/>
      <c r="Z2" s="11"/>
      <c r="AA2" s="12">
        <f>SUM(C2:Z2)</f>
        <v>1154</v>
      </c>
    </row>
    <row r="3" spans="2:27" x14ac:dyDescent="0.15">
      <c r="B3" s="4" t="s">
        <v>2</v>
      </c>
      <c r="C3" s="4">
        <f t="shared" ref="C3:N4" si="1">C11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9</v>
      </c>
      <c r="H3" s="4">
        <f t="shared" si="1"/>
        <v>6</v>
      </c>
      <c r="I3" s="4">
        <f t="shared" si="1"/>
        <v>8</v>
      </c>
      <c r="J3" s="4">
        <f t="shared" si="1"/>
        <v>6</v>
      </c>
      <c r="K3" s="4">
        <f t="shared" si="1"/>
        <v>10</v>
      </c>
      <c r="L3" s="4">
        <f t="shared" si="1"/>
        <v>12</v>
      </c>
      <c r="M3" s="4">
        <f t="shared" si="1"/>
        <v>23</v>
      </c>
      <c r="N3" s="4">
        <f t="shared" si="1"/>
        <v>14</v>
      </c>
      <c r="O3" s="4"/>
      <c r="P3" s="4"/>
      <c r="Q3" s="4"/>
      <c r="R3" s="4"/>
      <c r="S3" s="4"/>
      <c r="T3" s="4"/>
      <c r="U3" s="4"/>
      <c r="V3" s="4"/>
      <c r="W3" s="4"/>
      <c r="X3" s="4"/>
      <c r="Y3" s="3"/>
      <c r="Z3" s="11"/>
      <c r="AA3" s="12">
        <f t="shared" ref="AA3:AA6" si="2">SUM(C3:Z3)</f>
        <v>88</v>
      </c>
    </row>
    <row r="4" spans="2:27" x14ac:dyDescent="0.15">
      <c r="B4" s="4" t="s">
        <v>1</v>
      </c>
      <c r="C4" s="4">
        <f t="shared" si="1"/>
        <v>1</v>
      </c>
      <c r="D4" s="4">
        <f t="shared" si="1"/>
        <v>7</v>
      </c>
      <c r="E4" s="4">
        <f t="shared" si="1"/>
        <v>5</v>
      </c>
      <c r="F4" s="4">
        <f t="shared" si="1"/>
        <v>3</v>
      </c>
      <c r="G4" s="4">
        <f t="shared" si="1"/>
        <v>5</v>
      </c>
      <c r="H4" s="4">
        <f t="shared" si="1"/>
        <v>5</v>
      </c>
      <c r="I4" s="4">
        <f t="shared" si="1"/>
        <v>5</v>
      </c>
      <c r="J4" s="4">
        <f t="shared" si="1"/>
        <v>2</v>
      </c>
      <c r="K4" s="4">
        <f t="shared" si="1"/>
        <v>5</v>
      </c>
      <c r="L4" s="4">
        <f t="shared" si="1"/>
        <v>1</v>
      </c>
      <c r="M4" s="4">
        <f t="shared" si="1"/>
        <v>3</v>
      </c>
      <c r="N4" s="4">
        <f t="shared" si="1"/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3"/>
      <c r="Z4" s="3"/>
      <c r="AA4" s="12">
        <f t="shared" si="2"/>
        <v>42</v>
      </c>
    </row>
    <row r="5" spans="2:27" x14ac:dyDescent="0.15">
      <c r="B5" s="4" t="s">
        <v>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3"/>
      <c r="Z5" s="3"/>
      <c r="AA5" s="12">
        <f t="shared" si="2"/>
        <v>0</v>
      </c>
    </row>
    <row r="6" spans="2:27" x14ac:dyDescent="0.15">
      <c r="B6" s="4" t="s">
        <v>0</v>
      </c>
      <c r="C6" s="4">
        <f t="shared" ref="C6:N6" si="3">C14</f>
        <v>361</v>
      </c>
      <c r="D6" s="4">
        <f t="shared" si="3"/>
        <v>132</v>
      </c>
      <c r="E6" s="4">
        <f t="shared" si="3"/>
        <v>119</v>
      </c>
      <c r="F6" s="4">
        <f t="shared" si="3"/>
        <v>113</v>
      </c>
      <c r="G6" s="4">
        <f t="shared" si="3"/>
        <v>55</v>
      </c>
      <c r="H6" s="4">
        <f t="shared" si="3"/>
        <v>71</v>
      </c>
      <c r="I6" s="4">
        <f t="shared" si="3"/>
        <v>55</v>
      </c>
      <c r="J6" s="4">
        <f t="shared" si="3"/>
        <v>47</v>
      </c>
      <c r="K6" s="4">
        <f t="shared" si="3"/>
        <v>32</v>
      </c>
      <c r="L6" s="4">
        <f t="shared" si="3"/>
        <v>46</v>
      </c>
      <c r="M6" s="4">
        <f t="shared" si="3"/>
        <v>40</v>
      </c>
      <c r="N6" s="4">
        <f t="shared" si="3"/>
        <v>74</v>
      </c>
      <c r="O6" s="4"/>
      <c r="P6" s="4"/>
      <c r="Q6" s="4"/>
      <c r="R6" s="4"/>
      <c r="S6" s="4"/>
      <c r="T6" s="4"/>
      <c r="U6" s="4"/>
      <c r="V6" s="4"/>
      <c r="W6" s="4"/>
      <c r="X6" s="4"/>
      <c r="Y6" s="3"/>
      <c r="Z6" s="3"/>
      <c r="AA6" s="12">
        <f t="shared" si="2"/>
        <v>1145</v>
      </c>
    </row>
    <row r="7" spans="2:27" s="8" customFormat="1" ht="12" customHeight="1" x14ac:dyDescent="0.15">
      <c r="E7" s="9"/>
    </row>
    <row r="8" spans="2:27" ht="21.75" customHeight="1" x14ac:dyDescent="0.15">
      <c r="B8" s="1" t="s">
        <v>22</v>
      </c>
    </row>
    <row r="9" spans="2:27" ht="21.75" customHeight="1" x14ac:dyDescent="0.15">
      <c r="B9" s="7"/>
      <c r="C9" s="7" t="s">
        <v>15</v>
      </c>
      <c r="D9" s="7" t="s">
        <v>8</v>
      </c>
      <c r="E9" s="7" t="s">
        <v>17</v>
      </c>
      <c r="F9" s="7" t="s">
        <v>7</v>
      </c>
      <c r="G9" s="7" t="s">
        <v>6</v>
      </c>
      <c r="H9" s="7" t="s">
        <v>5</v>
      </c>
      <c r="I9" s="7" t="s">
        <v>9</v>
      </c>
      <c r="J9" s="7" t="s">
        <v>13</v>
      </c>
      <c r="K9" s="7" t="s">
        <v>10</v>
      </c>
      <c r="L9" s="7" t="s">
        <v>11</v>
      </c>
      <c r="M9" s="7" t="s">
        <v>12</v>
      </c>
      <c r="N9" s="7" t="s">
        <v>16</v>
      </c>
      <c r="O9" s="6" t="s">
        <v>4</v>
      </c>
    </row>
    <row r="10" spans="2:27" ht="21.75" customHeight="1" x14ac:dyDescent="0.15">
      <c r="B10" s="4" t="s">
        <v>3</v>
      </c>
      <c r="C10" s="4">
        <v>153</v>
      </c>
      <c r="D10" s="4">
        <v>109</v>
      </c>
      <c r="E10" s="4">
        <v>88</v>
      </c>
      <c r="F10" s="4">
        <v>125</v>
      </c>
      <c r="G10" s="4">
        <v>80</v>
      </c>
      <c r="H10" s="4">
        <v>89</v>
      </c>
      <c r="I10" s="4">
        <v>62</v>
      </c>
      <c r="J10" s="4">
        <v>62</v>
      </c>
      <c r="K10" s="4">
        <v>69</v>
      </c>
      <c r="L10" s="4">
        <v>97</v>
      </c>
      <c r="M10" s="3">
        <v>95</v>
      </c>
      <c r="N10" s="11">
        <v>125</v>
      </c>
      <c r="O10" s="2">
        <f>SUM(C10:N10)</f>
        <v>1154</v>
      </c>
    </row>
    <row r="11" spans="2:27" ht="21.75" customHeight="1" x14ac:dyDescent="0.15">
      <c r="B11" s="4" t="s">
        <v>18</v>
      </c>
      <c r="C11" s="4"/>
      <c r="D11" s="4"/>
      <c r="E11" s="4"/>
      <c r="F11" s="4"/>
      <c r="G11" s="4">
        <v>9</v>
      </c>
      <c r="H11" s="4">
        <v>6</v>
      </c>
      <c r="I11" s="4">
        <v>8</v>
      </c>
      <c r="J11" s="4">
        <v>6</v>
      </c>
      <c r="K11" s="4">
        <v>10</v>
      </c>
      <c r="L11" s="4">
        <v>12</v>
      </c>
      <c r="M11" s="3">
        <v>23</v>
      </c>
      <c r="N11" s="11">
        <v>14</v>
      </c>
      <c r="O11" s="2">
        <f>SUM(C11:N11)</f>
        <v>88</v>
      </c>
    </row>
    <row r="12" spans="2:27" ht="21.75" customHeight="1" x14ac:dyDescent="0.15">
      <c r="B12" s="4" t="s">
        <v>1</v>
      </c>
      <c r="C12" s="4">
        <v>1</v>
      </c>
      <c r="D12" s="4">
        <v>7</v>
      </c>
      <c r="E12" s="4">
        <v>5</v>
      </c>
      <c r="F12" s="4">
        <v>3</v>
      </c>
      <c r="G12" s="4">
        <v>5</v>
      </c>
      <c r="H12" s="4">
        <v>5</v>
      </c>
      <c r="I12" s="4">
        <v>5</v>
      </c>
      <c r="J12" s="4">
        <v>2</v>
      </c>
      <c r="K12" s="4">
        <v>5</v>
      </c>
      <c r="L12" s="4">
        <v>1</v>
      </c>
      <c r="M12" s="3">
        <v>3</v>
      </c>
      <c r="N12" s="3">
        <v>0</v>
      </c>
      <c r="O12" s="2">
        <f>SUM(C12:N12)</f>
        <v>42</v>
      </c>
    </row>
    <row r="13" spans="2:27" ht="21.75" customHeight="1" x14ac:dyDescent="0.15">
      <c r="B13" s="4" t="s">
        <v>20</v>
      </c>
      <c r="C13" s="4"/>
      <c r="D13" s="4"/>
      <c r="E13" s="4"/>
      <c r="F13" s="4"/>
      <c r="G13" s="4"/>
      <c r="H13" s="4"/>
      <c r="I13" s="4">
        <v>222</v>
      </c>
      <c r="J13" s="4">
        <v>242</v>
      </c>
      <c r="K13" s="4">
        <v>181</v>
      </c>
      <c r="L13" s="4">
        <v>233</v>
      </c>
      <c r="M13" s="3">
        <v>230</v>
      </c>
      <c r="N13" s="3">
        <v>266</v>
      </c>
      <c r="O13" s="2">
        <f>SUM(C13:N13)</f>
        <v>1374</v>
      </c>
    </row>
    <row r="14" spans="2:27" ht="21.75" customHeight="1" x14ac:dyDescent="0.15">
      <c r="B14" s="4" t="s">
        <v>0</v>
      </c>
      <c r="C14" s="4">
        <v>361</v>
      </c>
      <c r="D14" s="4">
        <v>132</v>
      </c>
      <c r="E14" s="4">
        <v>119</v>
      </c>
      <c r="F14" s="4">
        <v>113</v>
      </c>
      <c r="G14" s="4">
        <v>55</v>
      </c>
      <c r="H14" s="4">
        <v>71</v>
      </c>
      <c r="I14" s="4">
        <v>55</v>
      </c>
      <c r="J14" s="4">
        <v>47</v>
      </c>
      <c r="K14" s="4">
        <v>32</v>
      </c>
      <c r="L14" s="4">
        <v>46</v>
      </c>
      <c r="M14" s="3">
        <v>40</v>
      </c>
      <c r="N14" s="3">
        <v>74</v>
      </c>
      <c r="O14" s="2">
        <f>SUM(C14:N14)</f>
        <v>1145</v>
      </c>
    </row>
    <row r="15" spans="2:27" ht="21.75" customHeight="1" x14ac:dyDescent="0.15">
      <c r="C15" s="10"/>
      <c r="D15" s="10"/>
      <c r="E15" s="10"/>
      <c r="F15" s="10"/>
      <c r="G15" s="10"/>
      <c r="K15" s="10"/>
      <c r="L15" s="10"/>
      <c r="M15" s="10"/>
      <c r="N15" s="10"/>
    </row>
    <row r="16" spans="2:27" ht="21.75" customHeight="1" x14ac:dyDescent="0.15">
      <c r="B16" s="1" t="s">
        <v>23</v>
      </c>
    </row>
    <row r="17" spans="2:15" ht="21.75" customHeight="1" x14ac:dyDescent="0.15">
      <c r="B17" s="7"/>
      <c r="C17" s="7" t="s">
        <v>15</v>
      </c>
      <c r="D17" s="7" t="s">
        <v>8</v>
      </c>
      <c r="E17" s="7" t="s">
        <v>17</v>
      </c>
      <c r="F17" s="7" t="s">
        <v>7</v>
      </c>
      <c r="G17" s="7" t="s">
        <v>6</v>
      </c>
      <c r="H17" s="7" t="s">
        <v>5</v>
      </c>
      <c r="I17" s="7" t="s">
        <v>9</v>
      </c>
      <c r="J17" s="7" t="s">
        <v>13</v>
      </c>
      <c r="K17" s="7" t="s">
        <v>10</v>
      </c>
      <c r="L17" s="7" t="s">
        <v>11</v>
      </c>
      <c r="M17" s="7" t="s">
        <v>12</v>
      </c>
      <c r="N17" s="7" t="s">
        <v>16</v>
      </c>
      <c r="O17" s="6" t="s">
        <v>4</v>
      </c>
    </row>
    <row r="18" spans="2:15" ht="21.75" customHeight="1" x14ac:dyDescent="0.15">
      <c r="B18" s="4" t="s">
        <v>3</v>
      </c>
      <c r="C18" s="4">
        <v>109</v>
      </c>
      <c r="D18" s="4">
        <v>82</v>
      </c>
      <c r="E18" s="4">
        <v>96</v>
      </c>
      <c r="F18" s="4">
        <v>97</v>
      </c>
      <c r="G18" s="4">
        <v>95</v>
      </c>
      <c r="H18" s="4">
        <v>111</v>
      </c>
      <c r="I18" s="4">
        <v>185</v>
      </c>
      <c r="J18" s="4">
        <v>158</v>
      </c>
      <c r="K18" s="4">
        <v>175</v>
      </c>
      <c r="L18" s="4">
        <v>195</v>
      </c>
      <c r="M18" s="3">
        <v>209</v>
      </c>
      <c r="N18" s="11">
        <v>205</v>
      </c>
      <c r="O18" s="2">
        <f>SUM(C18:N18)</f>
        <v>1717</v>
      </c>
    </row>
    <row r="19" spans="2:15" ht="21.75" customHeight="1" x14ac:dyDescent="0.15">
      <c r="B19" s="4" t="s">
        <v>18</v>
      </c>
      <c r="C19" s="4">
        <v>10</v>
      </c>
      <c r="D19" s="4">
        <v>14</v>
      </c>
      <c r="E19" s="4">
        <v>23</v>
      </c>
      <c r="F19" s="4">
        <v>13</v>
      </c>
      <c r="G19" s="4">
        <v>16</v>
      </c>
      <c r="H19" s="4">
        <v>13</v>
      </c>
      <c r="I19" s="4">
        <v>31</v>
      </c>
      <c r="J19" s="4">
        <v>26</v>
      </c>
      <c r="K19" s="4">
        <v>30</v>
      </c>
      <c r="L19" s="4">
        <v>32</v>
      </c>
      <c r="M19" s="3">
        <v>38</v>
      </c>
      <c r="N19" s="11">
        <v>37</v>
      </c>
      <c r="O19" s="2">
        <f>SUM(C19:N19)</f>
        <v>283</v>
      </c>
    </row>
    <row r="20" spans="2:15" ht="21.75" customHeight="1" x14ac:dyDescent="0.15">
      <c r="B20" s="4" t="s">
        <v>1</v>
      </c>
      <c r="C20" s="4">
        <v>2</v>
      </c>
      <c r="D20" s="4">
        <v>2</v>
      </c>
      <c r="E20" s="4">
        <v>2</v>
      </c>
      <c r="F20" s="4">
        <v>4</v>
      </c>
      <c r="G20" s="4">
        <v>3</v>
      </c>
      <c r="H20" s="4">
        <v>5</v>
      </c>
      <c r="I20" s="4">
        <v>9</v>
      </c>
      <c r="J20" s="4">
        <v>9</v>
      </c>
      <c r="K20" s="4">
        <v>3</v>
      </c>
      <c r="L20" s="4">
        <v>11</v>
      </c>
      <c r="M20" s="3">
        <v>2</v>
      </c>
      <c r="N20" s="3">
        <v>4</v>
      </c>
      <c r="O20" s="2">
        <f>SUM(C20:N20)</f>
        <v>56</v>
      </c>
    </row>
    <row r="21" spans="2:15" ht="21.75" customHeight="1" x14ac:dyDescent="0.15">
      <c r="B21" s="4" t="s">
        <v>20</v>
      </c>
      <c r="C21" s="4">
        <v>213</v>
      </c>
      <c r="D21" s="4">
        <v>196</v>
      </c>
      <c r="E21" s="4">
        <v>195</v>
      </c>
      <c r="F21" s="4">
        <v>225</v>
      </c>
      <c r="G21" s="4">
        <v>215</v>
      </c>
      <c r="H21" s="4">
        <v>240</v>
      </c>
      <c r="I21" s="4">
        <v>375</v>
      </c>
      <c r="J21" s="4">
        <v>353</v>
      </c>
      <c r="K21" s="4">
        <v>313</v>
      </c>
      <c r="L21" s="4">
        <v>391</v>
      </c>
      <c r="M21" s="3">
        <v>462</v>
      </c>
      <c r="N21" s="3">
        <v>379</v>
      </c>
      <c r="O21" s="2">
        <f>SUM(C21:N21)</f>
        <v>3557</v>
      </c>
    </row>
    <row r="22" spans="2:15" ht="21.75" customHeight="1" x14ac:dyDescent="0.15">
      <c r="B22" s="4" t="s">
        <v>0</v>
      </c>
      <c r="C22" s="4">
        <v>42</v>
      </c>
      <c r="D22" s="4">
        <v>39</v>
      </c>
      <c r="E22" s="4">
        <v>39</v>
      </c>
      <c r="F22" s="4">
        <v>52</v>
      </c>
      <c r="G22" s="4">
        <v>42</v>
      </c>
      <c r="H22" s="4">
        <v>57</v>
      </c>
      <c r="I22" s="4">
        <v>66</v>
      </c>
      <c r="J22" s="4">
        <v>62</v>
      </c>
      <c r="K22" s="4">
        <v>42</v>
      </c>
      <c r="L22" s="4">
        <v>78</v>
      </c>
      <c r="M22" s="3">
        <v>60</v>
      </c>
      <c r="N22" s="3">
        <v>64</v>
      </c>
      <c r="O22" s="2">
        <f>SUM(C22:N22)+O14</f>
        <v>1788</v>
      </c>
    </row>
    <row r="23" spans="2:15" ht="21.75" customHeight="1" x14ac:dyDescent="0.15">
      <c r="C23" s="10"/>
      <c r="D23" s="10"/>
      <c r="E23" s="10"/>
      <c r="F23" s="10"/>
      <c r="G23" s="10"/>
      <c r="K23" s="10"/>
      <c r="L23" s="10"/>
      <c r="M23" s="10"/>
      <c r="N23" s="10"/>
    </row>
    <row r="24" spans="2:15" ht="21.75" customHeight="1" x14ac:dyDescent="0.15">
      <c r="B24" s="1" t="s">
        <v>24</v>
      </c>
    </row>
    <row r="25" spans="2:15" ht="21.75" customHeight="1" x14ac:dyDescent="0.15">
      <c r="B25" s="7"/>
      <c r="C25" s="7" t="s">
        <v>15</v>
      </c>
      <c r="D25" s="7" t="s">
        <v>8</v>
      </c>
      <c r="E25" s="7" t="s">
        <v>25</v>
      </c>
      <c r="F25" s="7" t="s">
        <v>7</v>
      </c>
      <c r="G25" s="7" t="s">
        <v>6</v>
      </c>
      <c r="H25" s="7" t="s">
        <v>5</v>
      </c>
      <c r="I25" s="7" t="s">
        <v>9</v>
      </c>
      <c r="J25" s="7" t="s">
        <v>13</v>
      </c>
      <c r="K25" s="7" t="s">
        <v>10</v>
      </c>
      <c r="L25" s="7" t="s">
        <v>11</v>
      </c>
      <c r="M25" s="7" t="s">
        <v>12</v>
      </c>
      <c r="N25" s="7" t="s">
        <v>16</v>
      </c>
      <c r="O25" s="6" t="s">
        <v>4</v>
      </c>
    </row>
    <row r="26" spans="2:15" ht="21.75" customHeight="1" x14ac:dyDescent="0.15">
      <c r="B26" s="4" t="s">
        <v>3</v>
      </c>
      <c r="C26" s="4">
        <v>200</v>
      </c>
      <c r="D26" s="4">
        <v>189</v>
      </c>
      <c r="E26" s="4">
        <v>218</v>
      </c>
      <c r="F26" s="4">
        <v>170</v>
      </c>
      <c r="G26" s="4">
        <v>150</v>
      </c>
      <c r="H26" s="4">
        <v>243</v>
      </c>
      <c r="I26" s="4"/>
      <c r="J26" s="4"/>
      <c r="K26" s="4"/>
      <c r="L26" s="4"/>
      <c r="M26" s="3"/>
      <c r="N26" s="11"/>
      <c r="O26" s="2">
        <f>SUM(C26:N26)</f>
        <v>1170</v>
      </c>
    </row>
    <row r="27" spans="2:15" ht="21.75" customHeight="1" x14ac:dyDescent="0.15">
      <c r="B27" s="4" t="s">
        <v>18</v>
      </c>
      <c r="C27" s="4">
        <v>43</v>
      </c>
      <c r="D27" s="4">
        <v>36</v>
      </c>
      <c r="E27" s="4">
        <v>43</v>
      </c>
      <c r="F27" s="4">
        <v>29</v>
      </c>
      <c r="G27" s="4">
        <v>37</v>
      </c>
      <c r="H27" s="4">
        <v>55</v>
      </c>
      <c r="I27" s="4"/>
      <c r="J27" s="4"/>
      <c r="K27" s="4"/>
      <c r="L27" s="4"/>
      <c r="M27" s="3"/>
      <c r="N27" s="11"/>
      <c r="O27" s="2">
        <f>SUM(C27:N27)</f>
        <v>243</v>
      </c>
    </row>
    <row r="28" spans="2:15" ht="21.75" customHeight="1" x14ac:dyDescent="0.15">
      <c r="B28" s="4" t="s">
        <v>1</v>
      </c>
      <c r="C28" s="4">
        <v>8</v>
      </c>
      <c r="D28" s="4">
        <v>4</v>
      </c>
      <c r="E28" s="4">
        <v>4</v>
      </c>
      <c r="F28" s="4">
        <v>3</v>
      </c>
      <c r="G28" s="4">
        <v>2</v>
      </c>
      <c r="H28" s="4">
        <v>2</v>
      </c>
      <c r="I28" s="4"/>
      <c r="J28" s="4"/>
      <c r="K28" s="4"/>
      <c r="L28" s="4"/>
      <c r="M28" s="3"/>
      <c r="N28" s="3"/>
      <c r="O28" s="2">
        <f>SUM(C28:N28)</f>
        <v>23</v>
      </c>
    </row>
    <row r="29" spans="2:15" ht="21.75" customHeight="1" x14ac:dyDescent="0.15">
      <c r="B29" s="4" t="s">
        <v>20</v>
      </c>
      <c r="C29" s="4">
        <v>383</v>
      </c>
      <c r="D29" s="4">
        <v>363</v>
      </c>
      <c r="E29" s="4">
        <v>444</v>
      </c>
      <c r="F29" s="4">
        <v>315</v>
      </c>
      <c r="G29" s="4">
        <v>299</v>
      </c>
      <c r="H29" s="4">
        <v>387</v>
      </c>
      <c r="I29" s="4"/>
      <c r="J29" s="4"/>
      <c r="K29" s="4"/>
      <c r="L29" s="4"/>
      <c r="M29" s="3"/>
      <c r="N29" s="3"/>
      <c r="O29" s="2">
        <f>SUM(C29:N29)</f>
        <v>2191</v>
      </c>
    </row>
    <row r="30" spans="2:15" ht="21.75" customHeight="1" x14ac:dyDescent="0.15">
      <c r="B30" s="4" t="s">
        <v>0</v>
      </c>
      <c r="C30" s="4">
        <v>48</v>
      </c>
      <c r="D30" s="4">
        <v>47</v>
      </c>
      <c r="E30" s="4">
        <v>63</v>
      </c>
      <c r="F30" s="4">
        <v>59</v>
      </c>
      <c r="G30" s="4">
        <v>36</v>
      </c>
      <c r="H30" s="4">
        <v>48</v>
      </c>
      <c r="I30" s="4"/>
      <c r="J30" s="4"/>
      <c r="K30" s="4"/>
      <c r="L30" s="4"/>
      <c r="M30" s="3"/>
      <c r="N30" s="3"/>
      <c r="O30" s="2">
        <f>SUM(C30:N30)+O22</f>
        <v>2089</v>
      </c>
    </row>
    <row r="31" spans="2:15" ht="21.75" customHeight="1" x14ac:dyDescent="0.15">
      <c r="D31" s="10"/>
      <c r="E31" s="10"/>
      <c r="F31" s="10"/>
      <c r="G31" s="10"/>
      <c r="H31" s="1" t="s">
        <v>26</v>
      </c>
      <c r="K31" s="10"/>
      <c r="L31" s="10"/>
      <c r="M31" s="10"/>
      <c r="N31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77" orientation="landscape" r:id="rId1"/>
  <headerFooter>
    <oddHeader>&amp;C&amp;"-,太字"&amp;14
【&amp;A 様】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A16"/>
  <sheetViews>
    <sheetView topLeftCell="A22" zoomScaleNormal="100" workbookViewId="0">
      <selection activeCell="J15" sqref="J15"/>
    </sheetView>
  </sheetViews>
  <sheetFormatPr defaultColWidth="12" defaultRowHeight="15.75" x14ac:dyDescent="0.15"/>
  <cols>
    <col min="1" max="1" width="12" style="1"/>
    <col min="2" max="2" width="13.125" style="1" customWidth="1"/>
    <col min="3" max="16384" width="12" style="1"/>
  </cols>
  <sheetData>
    <row r="1" spans="2:27" s="5" customFormat="1" x14ac:dyDescent="0.15">
      <c r="B1" s="7"/>
      <c r="C1" s="7" t="s">
        <v>15</v>
      </c>
      <c r="D1" s="7" t="s">
        <v>8</v>
      </c>
      <c r="E1" s="7" t="s">
        <v>17</v>
      </c>
      <c r="F1" s="7" t="s">
        <v>7</v>
      </c>
      <c r="G1" s="7" t="s">
        <v>6</v>
      </c>
      <c r="H1" s="7" t="s">
        <v>5</v>
      </c>
      <c r="I1" s="7" t="s">
        <v>9</v>
      </c>
      <c r="J1" s="7" t="s">
        <v>13</v>
      </c>
      <c r="K1" s="7" t="s">
        <v>10</v>
      </c>
      <c r="L1" s="7" t="s">
        <v>11</v>
      </c>
      <c r="M1" s="7" t="s">
        <v>12</v>
      </c>
      <c r="N1" s="7" t="s">
        <v>16</v>
      </c>
      <c r="O1" s="7" t="s">
        <v>15</v>
      </c>
      <c r="P1" s="7" t="s">
        <v>8</v>
      </c>
      <c r="Q1" s="7" t="s">
        <v>17</v>
      </c>
      <c r="R1" s="7" t="s">
        <v>7</v>
      </c>
      <c r="S1" s="7" t="s">
        <v>6</v>
      </c>
      <c r="T1" s="7" t="s">
        <v>5</v>
      </c>
      <c r="U1" s="7" t="s">
        <v>9</v>
      </c>
      <c r="V1" s="7" t="s">
        <v>13</v>
      </c>
      <c r="W1" s="7" t="s">
        <v>10</v>
      </c>
      <c r="X1" s="7" t="s">
        <v>11</v>
      </c>
      <c r="Y1" s="7" t="s">
        <v>12</v>
      </c>
      <c r="Z1" s="7" t="s">
        <v>16</v>
      </c>
      <c r="AA1" s="6" t="s">
        <v>4</v>
      </c>
    </row>
    <row r="2" spans="2:27" x14ac:dyDescent="0.15">
      <c r="B2" s="4" t="s">
        <v>3</v>
      </c>
      <c r="C2" s="4">
        <f>C10</f>
        <v>153</v>
      </c>
      <c r="D2" s="4">
        <f t="shared" ref="D2:N2" si="0">D10</f>
        <v>109</v>
      </c>
      <c r="E2" s="4">
        <f t="shared" si="0"/>
        <v>88</v>
      </c>
      <c r="F2" s="4">
        <f t="shared" si="0"/>
        <v>125</v>
      </c>
      <c r="G2" s="4">
        <f t="shared" si="0"/>
        <v>80</v>
      </c>
      <c r="H2" s="4">
        <f t="shared" si="0"/>
        <v>89</v>
      </c>
      <c r="I2" s="4">
        <f t="shared" si="0"/>
        <v>62</v>
      </c>
      <c r="J2" s="4">
        <f t="shared" si="0"/>
        <v>62</v>
      </c>
      <c r="K2" s="4">
        <f t="shared" si="0"/>
        <v>0</v>
      </c>
      <c r="L2" s="4">
        <f t="shared" si="0"/>
        <v>0</v>
      </c>
      <c r="M2" s="4">
        <f t="shared" si="0"/>
        <v>0</v>
      </c>
      <c r="N2" s="4">
        <f t="shared" si="0"/>
        <v>0</v>
      </c>
      <c r="O2" s="4"/>
      <c r="P2" s="4"/>
      <c r="Q2" s="4"/>
      <c r="R2" s="4"/>
      <c r="S2" s="4"/>
      <c r="T2" s="4"/>
      <c r="U2" s="4"/>
      <c r="V2" s="4"/>
      <c r="W2" s="4"/>
      <c r="X2" s="4"/>
      <c r="Y2" s="3"/>
      <c r="Z2" s="11"/>
      <c r="AA2" s="12">
        <f>SUM(C2:Z2)</f>
        <v>768</v>
      </c>
    </row>
    <row r="3" spans="2:27" x14ac:dyDescent="0.15">
      <c r="B3" s="4" t="s">
        <v>2</v>
      </c>
      <c r="C3" s="4">
        <f t="shared" ref="C3:N4" si="1">C11</f>
        <v>0</v>
      </c>
      <c r="D3" s="4">
        <f t="shared" si="1"/>
        <v>0</v>
      </c>
      <c r="E3" s="4">
        <f t="shared" si="1"/>
        <v>0</v>
      </c>
      <c r="F3" s="4">
        <f t="shared" si="1"/>
        <v>0</v>
      </c>
      <c r="G3" s="4">
        <f t="shared" si="1"/>
        <v>9</v>
      </c>
      <c r="H3" s="4">
        <f t="shared" si="1"/>
        <v>6</v>
      </c>
      <c r="I3" s="4">
        <f t="shared" si="1"/>
        <v>8</v>
      </c>
      <c r="J3" s="4">
        <f t="shared" si="1"/>
        <v>6</v>
      </c>
      <c r="K3" s="4">
        <f t="shared" si="1"/>
        <v>0</v>
      </c>
      <c r="L3" s="4">
        <f t="shared" si="1"/>
        <v>0</v>
      </c>
      <c r="M3" s="4">
        <f t="shared" si="1"/>
        <v>0</v>
      </c>
      <c r="N3" s="4">
        <f t="shared" si="1"/>
        <v>0</v>
      </c>
      <c r="O3" s="4"/>
      <c r="P3" s="4"/>
      <c r="Q3" s="4"/>
      <c r="R3" s="4"/>
      <c r="S3" s="4"/>
      <c r="T3" s="4"/>
      <c r="U3" s="4"/>
      <c r="V3" s="4"/>
      <c r="W3" s="4"/>
      <c r="X3" s="4"/>
      <c r="Y3" s="3"/>
      <c r="Z3" s="11"/>
      <c r="AA3" s="12">
        <f t="shared" ref="AA3:AA6" si="2">SUM(C3:Z3)</f>
        <v>29</v>
      </c>
    </row>
    <row r="4" spans="2:27" x14ac:dyDescent="0.15">
      <c r="B4" s="4" t="s">
        <v>1</v>
      </c>
      <c r="C4" s="4">
        <f t="shared" si="1"/>
        <v>1</v>
      </c>
      <c r="D4" s="4">
        <f t="shared" si="1"/>
        <v>7</v>
      </c>
      <c r="E4" s="4">
        <f t="shared" si="1"/>
        <v>5</v>
      </c>
      <c r="F4" s="4">
        <f t="shared" si="1"/>
        <v>3</v>
      </c>
      <c r="G4" s="4">
        <f t="shared" si="1"/>
        <v>5</v>
      </c>
      <c r="H4" s="4">
        <f t="shared" si="1"/>
        <v>5</v>
      </c>
      <c r="I4" s="4">
        <f t="shared" si="1"/>
        <v>5</v>
      </c>
      <c r="J4" s="4">
        <f t="shared" si="1"/>
        <v>2</v>
      </c>
      <c r="K4" s="4">
        <f t="shared" si="1"/>
        <v>0</v>
      </c>
      <c r="L4" s="4">
        <f t="shared" si="1"/>
        <v>0</v>
      </c>
      <c r="M4" s="4">
        <f t="shared" si="1"/>
        <v>0</v>
      </c>
      <c r="N4" s="4">
        <f t="shared" si="1"/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3"/>
      <c r="Z4" s="3"/>
      <c r="AA4" s="12">
        <f t="shared" si="2"/>
        <v>33</v>
      </c>
    </row>
    <row r="5" spans="2:27" x14ac:dyDescent="0.15">
      <c r="B5" s="4" t="s">
        <v>21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3"/>
      <c r="Z5" s="3"/>
      <c r="AA5" s="12">
        <f t="shared" si="2"/>
        <v>0</v>
      </c>
    </row>
    <row r="6" spans="2:27" x14ac:dyDescent="0.15">
      <c r="B6" s="4" t="s">
        <v>0</v>
      </c>
      <c r="C6" s="4">
        <f t="shared" ref="C6:N6" si="3">C14</f>
        <v>361</v>
      </c>
      <c r="D6" s="4">
        <f t="shared" si="3"/>
        <v>132</v>
      </c>
      <c r="E6" s="4">
        <f t="shared" si="3"/>
        <v>119</v>
      </c>
      <c r="F6" s="4">
        <f t="shared" si="3"/>
        <v>113</v>
      </c>
      <c r="G6" s="4">
        <f t="shared" si="3"/>
        <v>55</v>
      </c>
      <c r="H6" s="4">
        <f t="shared" si="3"/>
        <v>71</v>
      </c>
      <c r="I6" s="4">
        <f t="shared" si="3"/>
        <v>55</v>
      </c>
      <c r="J6" s="4">
        <f t="shared" si="3"/>
        <v>47</v>
      </c>
      <c r="K6" s="4">
        <f t="shared" si="3"/>
        <v>0</v>
      </c>
      <c r="L6" s="4">
        <f t="shared" si="3"/>
        <v>0</v>
      </c>
      <c r="M6" s="4">
        <f t="shared" si="3"/>
        <v>0</v>
      </c>
      <c r="N6" s="4">
        <f t="shared" si="3"/>
        <v>0</v>
      </c>
      <c r="O6" s="4"/>
      <c r="P6" s="4"/>
      <c r="Q6" s="4"/>
      <c r="R6" s="4"/>
      <c r="S6" s="4"/>
      <c r="T6" s="4"/>
      <c r="U6" s="4"/>
      <c r="V6" s="4"/>
      <c r="W6" s="4"/>
      <c r="X6" s="4"/>
      <c r="Y6" s="3"/>
      <c r="Z6" s="3"/>
      <c r="AA6" s="12">
        <f t="shared" si="2"/>
        <v>953</v>
      </c>
    </row>
    <row r="7" spans="2:27" s="8" customFormat="1" ht="12" customHeight="1" x14ac:dyDescent="0.15">
      <c r="E7" s="9"/>
    </row>
    <row r="8" spans="2:27" x14ac:dyDescent="0.15">
      <c r="B8" s="1" t="s">
        <v>14</v>
      </c>
    </row>
    <row r="9" spans="2:27" x14ac:dyDescent="0.15">
      <c r="B9" s="7"/>
      <c r="C9" s="7" t="s">
        <v>15</v>
      </c>
      <c r="D9" s="7" t="s">
        <v>8</v>
      </c>
      <c r="E9" s="7" t="s">
        <v>17</v>
      </c>
      <c r="F9" s="7" t="s">
        <v>7</v>
      </c>
      <c r="G9" s="7" t="s">
        <v>6</v>
      </c>
      <c r="H9" s="7" t="s">
        <v>5</v>
      </c>
      <c r="I9" s="7" t="s">
        <v>9</v>
      </c>
      <c r="J9" s="7" t="s">
        <v>13</v>
      </c>
      <c r="K9" s="7" t="s">
        <v>10</v>
      </c>
      <c r="L9" s="7" t="s">
        <v>11</v>
      </c>
      <c r="M9" s="7" t="s">
        <v>12</v>
      </c>
      <c r="N9" s="7" t="s">
        <v>16</v>
      </c>
      <c r="O9" s="6" t="s">
        <v>4</v>
      </c>
    </row>
    <row r="10" spans="2:27" x14ac:dyDescent="0.15">
      <c r="B10" s="4" t="s">
        <v>3</v>
      </c>
      <c r="C10" s="4">
        <v>153</v>
      </c>
      <c r="D10" s="4">
        <v>109</v>
      </c>
      <c r="E10" s="4">
        <v>88</v>
      </c>
      <c r="F10" s="4">
        <v>125</v>
      </c>
      <c r="G10" s="4">
        <v>80</v>
      </c>
      <c r="H10" s="4">
        <v>89</v>
      </c>
      <c r="I10" s="4">
        <v>62</v>
      </c>
      <c r="J10" s="4">
        <v>62</v>
      </c>
      <c r="K10" s="4"/>
      <c r="L10" s="4"/>
      <c r="M10" s="3"/>
      <c r="N10" s="11"/>
      <c r="O10" s="2">
        <f>SUM(C10:N10)</f>
        <v>768</v>
      </c>
    </row>
    <row r="11" spans="2:27" x14ac:dyDescent="0.15">
      <c r="B11" s="4" t="s">
        <v>18</v>
      </c>
      <c r="C11" s="4"/>
      <c r="D11" s="4"/>
      <c r="E11" s="4"/>
      <c r="F11" s="4"/>
      <c r="G11" s="4">
        <v>9</v>
      </c>
      <c r="H11" s="4">
        <v>6</v>
      </c>
      <c r="I11" s="4">
        <v>8</v>
      </c>
      <c r="J11" s="4">
        <v>6</v>
      </c>
      <c r="K11" s="4"/>
      <c r="L11" s="4"/>
      <c r="M11" s="3"/>
      <c r="N11" s="11"/>
      <c r="O11" s="2">
        <f>SUM(C11:N11)</f>
        <v>29</v>
      </c>
    </row>
    <row r="12" spans="2:27" x14ac:dyDescent="0.15">
      <c r="B12" s="4" t="s">
        <v>1</v>
      </c>
      <c r="C12" s="4">
        <v>1</v>
      </c>
      <c r="D12" s="4">
        <v>7</v>
      </c>
      <c r="E12" s="4">
        <v>5</v>
      </c>
      <c r="F12" s="4">
        <v>3</v>
      </c>
      <c r="G12" s="4">
        <v>5</v>
      </c>
      <c r="H12" s="4">
        <v>5</v>
      </c>
      <c r="I12" s="4">
        <v>5</v>
      </c>
      <c r="J12" s="4">
        <v>2</v>
      </c>
      <c r="K12" s="4"/>
      <c r="L12" s="4"/>
      <c r="M12" s="3"/>
      <c r="N12" s="3"/>
      <c r="O12" s="2">
        <f>SUM(C12:N12)</f>
        <v>33</v>
      </c>
    </row>
    <row r="13" spans="2:27" x14ac:dyDescent="0.15">
      <c r="B13" s="4" t="s">
        <v>20</v>
      </c>
      <c r="C13" s="4"/>
      <c r="D13" s="4"/>
      <c r="E13" s="4"/>
      <c r="F13" s="4"/>
      <c r="G13" s="4"/>
      <c r="H13" s="4"/>
      <c r="I13" s="4"/>
      <c r="J13" s="4">
        <v>242</v>
      </c>
      <c r="K13" s="4"/>
      <c r="L13" s="4"/>
      <c r="M13" s="3"/>
      <c r="N13" s="3"/>
      <c r="O13" s="2">
        <f>SUM(C13:N13)</f>
        <v>242</v>
      </c>
    </row>
    <row r="14" spans="2:27" x14ac:dyDescent="0.15">
      <c r="B14" s="4" t="s">
        <v>0</v>
      </c>
      <c r="C14" s="4">
        <v>361</v>
      </c>
      <c r="D14" s="4">
        <v>132</v>
      </c>
      <c r="E14" s="4">
        <v>119</v>
      </c>
      <c r="F14" s="4">
        <v>113</v>
      </c>
      <c r="G14" s="4">
        <v>55</v>
      </c>
      <c r="H14" s="4">
        <v>71</v>
      </c>
      <c r="I14" s="4">
        <v>55</v>
      </c>
      <c r="J14" s="4">
        <v>47</v>
      </c>
      <c r="K14" s="4"/>
      <c r="L14" s="4"/>
      <c r="M14" s="3"/>
      <c r="N14" s="3"/>
      <c r="O14" s="2">
        <f>SUM(C14:N14)</f>
        <v>953</v>
      </c>
    </row>
    <row r="15" spans="2:27" x14ac:dyDescent="0.15">
      <c r="C15" s="10"/>
      <c r="D15" s="10"/>
      <c r="E15" s="10"/>
      <c r="F15" s="10"/>
      <c r="G15" s="10"/>
      <c r="J15" s="10" t="s">
        <v>19</v>
      </c>
      <c r="K15" s="10"/>
      <c r="L15" s="10"/>
      <c r="M15" s="10"/>
      <c r="N15" s="10"/>
    </row>
    <row r="16" spans="2:27" ht="4.5" customHeight="1" x14ac:dyDescent="0.15"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</sheetData>
  <phoneticPr fontId="2"/>
  <printOptions horizontalCentered="1" verticalCentered="1"/>
  <pageMargins left="0.11811023622047245" right="0.11811023622047245" top="0.35433070866141736" bottom="0.15748031496062992" header="0.31496062992125984" footer="0.11811023622047245"/>
  <pageSetup paperSize="9" scale="44" orientation="landscape" r:id="rId1"/>
  <headerFooter>
    <oddHeader>&amp;C【&amp;A 様】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ラーメン塩司</vt:lpstr>
      <vt:lpstr>ラーメン塩司 (2)</vt:lpstr>
      <vt:lpstr>ラーメン塩司!Print_Area</vt:lpstr>
      <vt:lpstr>'ラーメン塩司 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kaji</dc:creator>
  <cp:lastModifiedBy>AILC-12</cp:lastModifiedBy>
  <cp:lastPrinted>2025-11-27T07:03:27Z</cp:lastPrinted>
  <dcterms:created xsi:type="dcterms:W3CDTF">2018-10-31T01:38:43Z</dcterms:created>
  <dcterms:modified xsi:type="dcterms:W3CDTF">2026-04-27T01:44:07Z</dcterms:modified>
</cp:coreProperties>
</file>