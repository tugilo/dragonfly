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どんぶり市場 新世界" sheetId="1" r:id="rId1"/>
    <sheet name="どんぷり市場 新世界 (2)" sheetId="2" r:id="rId2"/>
  </sheets>
  <definedNames>
    <definedName name="_xlnm.Print_Area" localSheetId="0">'どんぶり市場 新世界'!$A$27:$P$42</definedName>
    <definedName name="_xlnm.Print_Area" localSheetId="1">'どんぷり市場 新世界 (2)'!$A$14:$P$64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0" i="1" l="1"/>
  <c r="O39" i="1"/>
  <c r="O38" i="1"/>
  <c r="O37" i="1"/>
  <c r="O33" i="1" l="1"/>
  <c r="O32" i="1"/>
  <c r="O31" i="1"/>
  <c r="O30" i="1"/>
  <c r="O25" i="1" l="1"/>
  <c r="O24" i="1"/>
  <c r="O23" i="1"/>
  <c r="O17" i="1"/>
  <c r="O18" i="1"/>
  <c r="O16" i="1"/>
  <c r="O24" i="2"/>
  <c r="O12" i="2"/>
  <c r="O19" i="2" s="1"/>
  <c r="O26" i="2" s="1"/>
  <c r="O11" i="2"/>
  <c r="O18" i="2" s="1"/>
  <c r="O25" i="2" s="1"/>
  <c r="O10" i="2"/>
  <c r="O17" i="2" s="1"/>
  <c r="O9" i="2"/>
  <c r="O16" i="2" s="1"/>
  <c r="AA2" i="2" s="1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L3" i="2"/>
  <c r="AK3" i="2"/>
  <c r="AJ3" i="2"/>
  <c r="AI3" i="2"/>
  <c r="AH3" i="2"/>
  <c r="AG3" i="2"/>
  <c r="AF3" i="2"/>
  <c r="AE3" i="2"/>
  <c r="AD3" i="2"/>
  <c r="AC3" i="2"/>
  <c r="AB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AL2" i="2"/>
  <c r="AK2" i="2"/>
  <c r="AJ2" i="2"/>
  <c r="AI2" i="2"/>
  <c r="AH2" i="2"/>
  <c r="AG2" i="2"/>
  <c r="AF2" i="2"/>
  <c r="AE2" i="2"/>
  <c r="AD2" i="2"/>
  <c r="AC2" i="2"/>
  <c r="AB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M4" i="2" l="1"/>
  <c r="AM3" i="2"/>
  <c r="AM2" i="2"/>
  <c r="AA3" i="2"/>
  <c r="O23" i="2"/>
  <c r="AM5" i="1"/>
  <c r="AL5" i="1"/>
  <c r="AL4" i="1"/>
  <c r="AK5" i="1"/>
  <c r="AK4" i="1"/>
  <c r="AJ5" i="1"/>
  <c r="AJ4" i="1"/>
  <c r="AI5" i="1"/>
  <c r="AI4" i="1"/>
  <c r="AH5" i="1"/>
  <c r="AH4" i="1"/>
  <c r="AG5" i="1"/>
  <c r="AG4" i="1"/>
  <c r="AF5" i="1"/>
  <c r="AF4" i="1"/>
  <c r="AE5" i="1"/>
  <c r="AE4" i="1"/>
  <c r="AD5" i="1"/>
  <c r="AD4" i="1"/>
  <c r="AC5" i="1"/>
  <c r="AC4" i="1"/>
  <c r="AB5" i="1"/>
  <c r="AB4" i="1"/>
  <c r="AA5" i="1"/>
  <c r="AA4" i="1"/>
  <c r="Z2" i="1"/>
  <c r="AL3" i="1"/>
  <c r="AK3" i="1"/>
  <c r="AJ3" i="1"/>
  <c r="AI3" i="1"/>
  <c r="AH3" i="1"/>
  <c r="AG3" i="1"/>
  <c r="AF3" i="1"/>
  <c r="AE3" i="1"/>
  <c r="AD3" i="1"/>
  <c r="AC3" i="1"/>
  <c r="AB3" i="1"/>
  <c r="AL2" i="1"/>
  <c r="AK2" i="1"/>
  <c r="AJ2" i="1"/>
  <c r="AI2" i="1"/>
  <c r="AH2" i="1"/>
  <c r="AG2" i="1"/>
  <c r="AF2" i="1"/>
  <c r="AE2" i="1"/>
  <c r="AD2" i="1"/>
  <c r="AC2" i="1"/>
  <c r="AB2" i="1"/>
  <c r="P2" i="1" l="1"/>
  <c r="Q2" i="1"/>
  <c r="R2" i="1"/>
  <c r="S2" i="1"/>
  <c r="T2" i="1"/>
  <c r="U2" i="1"/>
  <c r="V2" i="1"/>
  <c r="W2" i="1"/>
  <c r="X2" i="1"/>
  <c r="Y2" i="1"/>
  <c r="P3" i="1"/>
  <c r="Q3" i="1"/>
  <c r="R3" i="1"/>
  <c r="S3" i="1"/>
  <c r="T3" i="1"/>
  <c r="U3" i="1"/>
  <c r="V3" i="1"/>
  <c r="W3" i="1"/>
  <c r="X3" i="1"/>
  <c r="Y3" i="1"/>
  <c r="Z3" i="1"/>
  <c r="P4" i="1"/>
  <c r="Q4" i="1"/>
  <c r="R4" i="1"/>
  <c r="S4" i="1"/>
  <c r="T4" i="1"/>
  <c r="U4" i="1"/>
  <c r="V4" i="1"/>
  <c r="W4" i="1"/>
  <c r="X4" i="1"/>
  <c r="Y4" i="1"/>
  <c r="Z4" i="1"/>
  <c r="P5" i="1"/>
  <c r="Q5" i="1"/>
  <c r="R5" i="1"/>
  <c r="S5" i="1"/>
  <c r="T5" i="1"/>
  <c r="U5" i="1"/>
  <c r="V5" i="1"/>
  <c r="W5" i="1"/>
  <c r="X5" i="1"/>
  <c r="Y5" i="1"/>
  <c r="Z5" i="1"/>
  <c r="O3" i="1"/>
  <c r="O4" i="1"/>
  <c r="O5" i="1"/>
  <c r="O2" i="1"/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D4" i="1"/>
  <c r="E4" i="1"/>
  <c r="F4" i="1"/>
  <c r="G4" i="1"/>
  <c r="H4" i="1"/>
  <c r="I4" i="1"/>
  <c r="J4" i="1"/>
  <c r="K4" i="1"/>
  <c r="L4" i="1"/>
  <c r="M4" i="1"/>
  <c r="N4" i="1"/>
  <c r="D5" i="1"/>
  <c r="E5" i="1"/>
  <c r="F5" i="1"/>
  <c r="G5" i="1"/>
  <c r="H5" i="1"/>
  <c r="I5" i="1"/>
  <c r="J5" i="1"/>
  <c r="K5" i="1"/>
  <c r="L5" i="1"/>
  <c r="M5" i="1"/>
  <c r="N5" i="1"/>
  <c r="C3" i="1"/>
  <c r="C4" i="1"/>
  <c r="C5" i="1"/>
  <c r="C2" i="1"/>
  <c r="AM4" i="1" l="1"/>
  <c r="O12" i="1"/>
  <c r="O19" i="1" s="1"/>
  <c r="O26" i="1" s="1"/>
  <c r="O11" i="1"/>
  <c r="O10" i="1"/>
  <c r="O9" i="1"/>
  <c r="AA2" i="1" s="1"/>
  <c r="AA3" i="1" l="1"/>
  <c r="AM2" i="1"/>
  <c r="AM3" i="1"/>
</calcChain>
</file>

<file path=xl/sharedStrings.xml><?xml version="1.0" encoding="utf-8"?>
<sst xmlns="http://schemas.openxmlformats.org/spreadsheetml/2006/main" count="228" uniqueCount="31">
  <si>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</si>
  <si>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</si>
  <si>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</si>
  <si>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</si>
  <si>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</si>
  <si>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</si>
  <si>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</si>
  <si>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</si>
  <si>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</si>
  <si>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5月</t>
  </si>
  <si>
    <t>6月</t>
  </si>
  <si>
    <t>7月</t>
  </si>
  <si>
    <t>10月</t>
  </si>
  <si>
    <t>11月</t>
  </si>
  <si>
    <t>8月</t>
  </si>
  <si>
    <t>9月</t>
  </si>
  <si>
    <t>1月</t>
  </si>
  <si>
    <t>2022年3月～2023年2月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</si>
  <si>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2023年3月～2024年2月</t>
    <phoneticPr fontId="2"/>
  </si>
  <si>
    <t>2022/3月</t>
    <phoneticPr fontId="2"/>
  </si>
  <si>
    <t>4月</t>
    <phoneticPr fontId="2"/>
  </si>
  <si>
    <t>2023/1月</t>
    <phoneticPr fontId="2"/>
  </si>
  <si>
    <t>2024/1月</t>
    <phoneticPr fontId="2"/>
  </si>
  <si>
    <t>3月</t>
    <phoneticPr fontId="2"/>
  </si>
  <si>
    <t>2024年3月～2025年2月</t>
    <phoneticPr fontId="2"/>
  </si>
  <si>
    <t>2月</t>
    <phoneticPr fontId="2"/>
  </si>
  <si>
    <t>閲覧数</t>
    <rPh sb="0" eb="2">
      <t>エツラン</t>
    </rPh>
    <rPh sb="2" eb="3">
      <t>スウ</t>
    </rPh>
    <phoneticPr fontId="2"/>
  </si>
  <si>
    <t>5/26～6/25</t>
    <phoneticPr fontId="2"/>
  </si>
  <si>
    <t>2025年3月～2026年2月</t>
    <phoneticPr fontId="2"/>
  </si>
  <si>
    <t>2026年3月～2027年2月</t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</si>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</sst>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7" xfId="0" applyFont="1" applyBorder="1">
      <alignment vertical="center"/>
    </xf>
    <xf numFmtId="38" fontId="1" fillId="0" borderId="1" xfId="1" applyFont="1" applyBorder="1">
      <alignment vertical="center"/>
    </xf>
    <xf numFmtId="38" fontId="1" fillId="0" borderId="0" xfId="1" applyFont="1">
      <alignment vertical="center"/>
    </xf>
    <xf numFmtId="38" fontId="1" fillId="0" borderId="1" xfId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'どんぶり市場 新世界'!$B$5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f>'どんぶり市場 新世界'!$G$1:$AD$1</c:f>
              <c:strCache>
                <c:ptCount val="24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2023/1月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  <c:pt idx="18">
                  <c:v>2024/1月</c:v>
                </c:pt>
                <c:pt idx="19">
                  <c:v>2月</c:v>
                </c:pt>
                <c:pt idx="20">
                  <c:v>3月</c:v>
                </c:pt>
                <c:pt idx="21">
                  <c:v>4月</c:v>
                </c:pt>
                <c:pt idx="22">
                  <c:v>5月</c:v>
                </c:pt>
                <c:pt idx="23">
                  <c:v>6月</c:v>
                </c:pt>
              </c:strCache>
            </c:strRef>
          </c:cat>
          <c:val>
            <c:numRef>
              <c:f>'どんぶり市場 新世界'!$G$5:$AD$5</c:f>
              <c:numCache>
                <c:formatCode>General</c:formatCode>
                <c:ptCount val="24"/>
                <c:pt idx="0">
                  <c:v>67</c:v>
                </c:pt>
                <c:pt idx="1">
                  <c:v>88</c:v>
                </c:pt>
                <c:pt idx="2">
                  <c:v>71</c:v>
                </c:pt>
                <c:pt idx="3">
                  <c:v>95</c:v>
                </c:pt>
                <c:pt idx="4">
                  <c:v>62</c:v>
                </c:pt>
                <c:pt idx="5">
                  <c:v>88</c:v>
                </c:pt>
                <c:pt idx="6">
                  <c:v>148</c:v>
                </c:pt>
                <c:pt idx="7">
                  <c:v>131</c:v>
                </c:pt>
                <c:pt idx="8">
                  <c:v>90</c:v>
                </c:pt>
                <c:pt idx="9">
                  <c:v>108</c:v>
                </c:pt>
                <c:pt idx="10">
                  <c:v>67</c:v>
                </c:pt>
                <c:pt idx="11">
                  <c:v>101</c:v>
                </c:pt>
                <c:pt idx="12">
                  <c:v>107</c:v>
                </c:pt>
                <c:pt idx="13">
                  <c:v>86</c:v>
                </c:pt>
                <c:pt idx="14">
                  <c:v>59</c:v>
                </c:pt>
                <c:pt idx="15">
                  <c:v>95</c:v>
                </c:pt>
                <c:pt idx="16">
                  <c:v>98</c:v>
                </c:pt>
                <c:pt idx="17">
                  <c:v>42</c:v>
                </c:pt>
                <c:pt idx="18">
                  <c:v>59</c:v>
                </c:pt>
                <c:pt idx="19">
                  <c:v>62</c:v>
                </c:pt>
                <c:pt idx="20">
                  <c:v>52</c:v>
                </c:pt>
                <c:pt idx="21">
                  <c:v>47</c:v>
                </c:pt>
                <c:pt idx="22">
                  <c:v>65</c:v>
                </c:pt>
                <c:pt idx="23">
                  <c:v>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0C-4A40-A501-E105B5EDE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2760"/>
        <c:axId val="512523152"/>
        <c:extLst xmlns:c16r2="http://schemas.microsoft.com/office/drawing/2015/06/chart"/>
      </c:barChart>
      <c:catAx>
        <c:axId val="51252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3152"/>
        <c:crosses val="autoZero"/>
        <c:auto val="1"/>
        <c:lblAlgn val="ctr"/>
        <c:lblOffset val="100"/>
        <c:noMultiLvlLbl val="0"/>
      </c:catAx>
      <c:valAx>
        <c:axId val="5125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2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閲覧回数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'どんぶり市場 新世界'!$B$14</c:f>
              <c:strCache>
                <c:ptCount val="1"/>
                <c:pt idx="0">
                  <c:v>2023年3月～2024年2月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'どんぶり市場 新世界'!$C$8:$N$8</c:f>
              <c:strCache>
                <c:ptCount val="12"/>
                <c:pt idx="0">
                  <c:v>3月</c:v>
                </c:pt>
                <c:pt idx="1">
                  <c:v>4月</c:v>
                </c:pt>
                <c:pt idx="2">
                  <c:v>5月</c:v>
                </c:pt>
                <c:pt idx="3">
                  <c:v>6月</c:v>
                </c:pt>
                <c:pt idx="4">
                  <c:v>7月</c:v>
                </c:pt>
                <c:pt idx="5">
                  <c:v>8月</c:v>
                </c:pt>
                <c:pt idx="6">
                  <c:v>9月</c:v>
                </c:pt>
                <c:pt idx="7">
                  <c:v>10月</c:v>
                </c:pt>
                <c:pt idx="8">
                  <c:v>11月</c:v>
                </c:pt>
                <c:pt idx="9">
                  <c:v>12月</c:v>
                </c:pt>
                <c:pt idx="10">
                  <c:v>1月</c:v>
                </c:pt>
                <c:pt idx="11">
                  <c:v>2月</c:v>
                </c:pt>
              </c:strCache>
            </c:strRef>
          </c:cat>
          <c:val>
            <c:numRef>
              <c:f>'どんぶり市場 新世界'!$C$25:$N$25</c:f>
              <c:numCache>
                <c:formatCode>General</c:formatCode>
                <c:ptCount val="12"/>
                <c:pt idx="0">
                  <c:v>435</c:v>
                </c:pt>
                <c:pt idx="1">
                  <c:v>611</c:v>
                </c:pt>
                <c:pt idx="2">
                  <c:v>365</c:v>
                </c:pt>
                <c:pt idx="3">
                  <c:v>258</c:v>
                </c:pt>
                <c:pt idx="4">
                  <c:v>343</c:v>
                </c:pt>
                <c:pt idx="5">
                  <c:v>383</c:v>
                </c:pt>
                <c:pt idx="6">
                  <c:v>500</c:v>
                </c:pt>
                <c:pt idx="7">
                  <c:v>656</c:v>
                </c:pt>
                <c:pt idx="8">
                  <c:v>552</c:v>
                </c:pt>
                <c:pt idx="9">
                  <c:v>557</c:v>
                </c:pt>
                <c:pt idx="10">
                  <c:v>538</c:v>
                </c:pt>
                <c:pt idx="11">
                  <c:v>437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2BB-49B7-A161-E8356C881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5296"/>
        <c:axId val="472444904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'どんぶり市場 新世界'!$B$7</c15:sqref>
                        </c15:formulaRef>
                      </c:ext>
                    </c:extLst>
                    <c:strCache>
                      <c:ptCount val="1"/>
                      <c:pt idx="0">
                        <c:v>2022年3月～2023年2月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'どんぶり市場 新世界'!$C$8:$N$8</c15:sqref>
                        </c15:formulaRef>
                      </c:ext>
                    </c:extLst>
                    <c:strCache>
                      <c:ptCount val="12"/>
                      <c:pt idx="0">
                        <c:v>3月</c:v>
                      </c:pt>
                      <c:pt idx="1">
                        <c:v>4月</c:v>
                      </c:pt>
                      <c:pt idx="2">
                        <c:v>5月</c:v>
                      </c:pt>
                      <c:pt idx="3">
                        <c:v>6月</c:v>
                      </c:pt>
                      <c:pt idx="4">
                        <c:v>7月</c:v>
                      </c:pt>
                      <c:pt idx="5">
                        <c:v>8月</c:v>
                      </c:pt>
                      <c:pt idx="6">
                        <c:v>9月</c:v>
                      </c:pt>
                      <c:pt idx="7">
                        <c:v>10月</c:v>
                      </c:pt>
                      <c:pt idx="8">
                        <c:v>11月</c:v>
                      </c:pt>
                      <c:pt idx="9">
                        <c:v>12月</c:v>
                      </c:pt>
                      <c:pt idx="10">
                        <c:v>1月</c:v>
                      </c:pt>
                      <c:pt idx="11">
                        <c:v>2月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'どんぶり市場 新世界'!$C$10:$N$10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22BB-49B7-A161-E8356C88196A}"/>
                  </c:ext>
                </c:extLst>
              </c15:ser>
            </c15:filteredBarSeries>
          </c:ext>
        </c:extLst>
      </c:barChart>
      <c:catAx>
        <c:axId val="472445296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904"/>
        <c:crosses val="autoZero"/>
        <c:auto val="1"/>
        <c:lblAlgn val="ctr"/>
        <c:lblOffset val="100"/>
        <c:noMultiLvlLbl val="0"/>
      </c:catAx>
      <c:valAx>
        <c:axId val="47244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76601394213469"/>
          <c:y val="5.5843066689429392E-2"/>
          <c:w val="0.2742339860578652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'どんぷり市場 新世界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f>'どんぷり市場 新世界 (2)'!$G$1:$AD$1</c:f>
              <c:strCache>
                <c:ptCount val="24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2023/1月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  <c:pt idx="18">
                  <c:v>2024/1月</c:v>
                </c:pt>
                <c:pt idx="19">
                  <c:v>2月</c:v>
                </c:pt>
                <c:pt idx="20">
                  <c:v>3月</c:v>
                </c:pt>
                <c:pt idx="21">
                  <c:v>4月</c:v>
                </c:pt>
                <c:pt idx="22">
                  <c:v>5月</c:v>
                </c:pt>
                <c:pt idx="23">
                  <c:v>6月</c:v>
                </c:pt>
              </c:strCache>
            </c:strRef>
          </c:cat>
          <c:val>
            <c:numRef>
              <c:f>'どんぷり市場 新世界 (2)'!$G$5:$AD$5</c:f>
              <c:numCache>
                <c:formatCode>General</c:formatCode>
                <c:ptCount val="24"/>
                <c:pt idx="0">
                  <c:v>67</c:v>
                </c:pt>
                <c:pt idx="1">
                  <c:v>88</c:v>
                </c:pt>
                <c:pt idx="2">
                  <c:v>71</c:v>
                </c:pt>
                <c:pt idx="3">
                  <c:v>95</c:v>
                </c:pt>
                <c:pt idx="4">
                  <c:v>62</c:v>
                </c:pt>
                <c:pt idx="5">
                  <c:v>88</c:v>
                </c:pt>
                <c:pt idx="6">
                  <c:v>148</c:v>
                </c:pt>
                <c:pt idx="7">
                  <c:v>131</c:v>
                </c:pt>
                <c:pt idx="8">
                  <c:v>90</c:v>
                </c:pt>
                <c:pt idx="9">
                  <c:v>108</c:v>
                </c:pt>
                <c:pt idx="10">
                  <c:v>67</c:v>
                </c:pt>
                <c:pt idx="11">
                  <c:v>101</c:v>
                </c:pt>
                <c:pt idx="12">
                  <c:v>107</c:v>
                </c:pt>
                <c:pt idx="13">
                  <c:v>86</c:v>
                </c:pt>
                <c:pt idx="14">
                  <c:v>59</c:v>
                </c:pt>
                <c:pt idx="15">
                  <c:v>95</c:v>
                </c:pt>
                <c:pt idx="16">
                  <c:v>98</c:v>
                </c:pt>
                <c:pt idx="17">
                  <c:v>42</c:v>
                </c:pt>
                <c:pt idx="18">
                  <c:v>59</c:v>
                </c:pt>
                <c:pt idx="19">
                  <c:v>62</c:v>
                </c:pt>
                <c:pt idx="20">
                  <c:v>52</c:v>
                </c:pt>
                <c:pt idx="21">
                  <c:v>47</c:v>
                </c:pt>
                <c:pt idx="22">
                  <c:v>65</c:v>
                </c:pt>
                <c:pt idx="23">
                  <c:v>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B5C-44CC-8CAA-49A3BC513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6080"/>
        <c:axId val="472444512"/>
        <c:extLst xmlns:c16r2="http://schemas.microsoft.com/office/drawing/2015/06/chart"/>
      </c:barChart>
      <c:catAx>
        <c:axId val="47244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512"/>
        <c:crosses val="autoZero"/>
        <c:auto val="1"/>
        <c:lblAlgn val="ctr"/>
        <c:lblOffset val="100"/>
        <c:noMultiLvlLbl val="0"/>
      </c:catAx>
      <c:valAx>
        <c:axId val="4724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閲覧回数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'どんぷり市場 新世界 (2)'!$B$14</c:f>
              <c:strCache>
                <c:ptCount val="1"/>
                <c:pt idx="0">
                  <c:v>2023年3月～2024年2月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'どんぷり市場 新世界 (2)'!$C$8:$N$8</c:f>
              <c:strCache>
                <c:ptCount val="12"/>
                <c:pt idx="0">
                  <c:v>3月</c:v>
                </c:pt>
                <c:pt idx="1">
                  <c:v>4月</c:v>
                </c:pt>
                <c:pt idx="2">
                  <c:v>5月</c:v>
                </c:pt>
                <c:pt idx="3">
                  <c:v>6月</c:v>
                </c:pt>
                <c:pt idx="4">
                  <c:v>7月</c:v>
                </c:pt>
                <c:pt idx="5">
                  <c:v>8月</c:v>
                </c:pt>
                <c:pt idx="6">
                  <c:v>9月</c:v>
                </c:pt>
                <c:pt idx="7">
                  <c:v>10月</c:v>
                </c:pt>
                <c:pt idx="8">
                  <c:v>11月</c:v>
                </c:pt>
                <c:pt idx="9">
                  <c:v>12月</c:v>
                </c:pt>
                <c:pt idx="10">
                  <c:v>1月</c:v>
                </c:pt>
                <c:pt idx="11">
                  <c:v>2月</c:v>
                </c:pt>
              </c:strCache>
            </c:strRef>
          </c:cat>
          <c:val>
            <c:numRef>
              <c:f>'どんぷり市場 新世界 (2)'!$C$24:$N$24</c:f>
              <c:numCache>
                <c:formatCode>General</c:formatCode>
                <c:ptCount val="12"/>
                <c:pt idx="0">
                  <c:v>435</c:v>
                </c:pt>
                <c:pt idx="1">
                  <c:v>611</c:v>
                </c:pt>
                <c:pt idx="2">
                  <c:v>365</c:v>
                </c:pt>
                <c:pt idx="3">
                  <c:v>258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F9-4866-99DE-6DAED56E2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4120"/>
        <c:axId val="47244568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'どんぷり市場 新世界 (2)'!$B$7</c15:sqref>
                        </c15:formulaRef>
                      </c:ext>
                    </c:extLst>
                    <c:strCache>
                      <c:ptCount val="1"/>
                      <c:pt idx="0">
                        <c:v>2022年3月～2023年2月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'どんぷり市場 新世界 (2)'!$C$8:$N$8</c15:sqref>
                        </c15:formulaRef>
                      </c:ext>
                    </c:extLst>
                    <c:strCache>
                      <c:ptCount val="12"/>
                      <c:pt idx="0">
                        <c:v>3月</c:v>
                      </c:pt>
                      <c:pt idx="1">
                        <c:v>4月</c:v>
                      </c:pt>
                      <c:pt idx="2">
                        <c:v>5月</c:v>
                      </c:pt>
                      <c:pt idx="3">
                        <c:v>6月</c:v>
                      </c:pt>
                      <c:pt idx="4">
                        <c:v>7月</c:v>
                      </c:pt>
                      <c:pt idx="5">
                        <c:v>8月</c:v>
                      </c:pt>
                      <c:pt idx="6">
                        <c:v>9月</c:v>
                      </c:pt>
                      <c:pt idx="7">
                        <c:v>10月</c:v>
                      </c:pt>
                      <c:pt idx="8">
                        <c:v>11月</c:v>
                      </c:pt>
                      <c:pt idx="9">
                        <c:v>12月</c:v>
                      </c:pt>
                      <c:pt idx="10">
                        <c:v>1月</c:v>
                      </c:pt>
                      <c:pt idx="11">
                        <c:v>2月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'どんぷり市場 新世界 (2)'!$C$10:$N$10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98F9-4866-99DE-6DAED56E208B}"/>
                  </c:ext>
                </c:extLst>
              </c15:ser>
            </c15:filteredBarSeries>
          </c:ext>
        </c:extLst>
      </c:barChart>
      <c:catAx>
        <c:axId val="472444120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5688"/>
        <c:crosses val="autoZero"/>
        <c:auto val="1"/>
        <c:lblAlgn val="ctr"/>
        <c:lblOffset val="100"/>
        <c:noMultiLvlLbl val="0"/>
      </c:catAx>
      <c:valAx>
        <c:axId val="47244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76601394213469"/>
          <c:y val="5.5843066689429392E-2"/>
          <c:w val="0.2742339860578652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41</xdr:row>
      <xdr:rowOff>0</xdr:rowOff>
    </xdr:from>
    <xdr:to>
      <xdr:col>15</xdr:col>
      <xdr:colOff>609600</xdr:colOff>
      <xdr:row>41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xmlns="" id="{498AC70F-A898-487E-BA10-20BAC135B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295275</xdr:colOff>
      <xdr:row>41</xdr:row>
      <xdr:rowOff>0</xdr:rowOff>
    </xdr:from>
    <xdr:to>
      <xdr:col>15</xdr:col>
      <xdr:colOff>609601</xdr:colOff>
      <xdr:row>41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xmlns="" id="{AD64BA3C-F0DB-4FCF-A79F-2C7732050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44</xdr:row>
      <xdr:rowOff>19049</xdr:rowOff>
    </xdr:from>
    <xdr:to>
      <xdr:col>15</xdr:col>
      <xdr:colOff>609600</xdr:colOff>
      <xdr:row>63</xdr:row>
      <xdr:rowOff>180975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xmlns="" id="{66BE234F-5885-4E33-B8FD-8798C1092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295275</xdr:colOff>
      <xdr:row>27</xdr:row>
      <xdr:rowOff>38100</xdr:rowOff>
    </xdr:from>
    <xdr:to>
      <xdr:col>15</xdr:col>
      <xdr:colOff>609601</xdr:colOff>
      <xdr:row>43</xdr:row>
      <xdr:rowOff>123824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xmlns="" id="{7377D10D-AEF5-47CA-ADFA-57CCAD25A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41"/>
  <sheetViews>
    <sheetView tabSelected="1" topLeftCell="A23" zoomScaleNormal="100" workbookViewId="0">
      <selection activeCell="D41" sqref="D41"/>
    </sheetView>
  </sheetViews>
  <sheetFormatPr defaultColWidth="12" defaultRowHeight="15.75" x14ac:dyDescent="0.15"/>
  <cols>
    <col min="1" max="16384" width="12" style="1"/>
  </cols>
  <sheetData>
    <row r="1" spans="2:39" s="5" customFormat="1" x14ac:dyDescent="0.15">
      <c r="B1" s="7"/>
      <c r="C1" s="7" t="s">
        <v>19</v>
      </c>
      <c r="D1" s="7" t="s">
        <v>20</v>
      </c>
      <c r="E1" s="7" t="s">
        <v>9</v>
      </c>
      <c r="F1" s="7" t="s">
        <v>10</v>
      </c>
      <c r="G1" s="7" t="s">
        <v>11</v>
      </c>
      <c r="H1" s="7" t="s">
        <v>14</v>
      </c>
      <c r="I1" s="7" t="s">
        <v>15</v>
      </c>
      <c r="J1" s="7" t="s">
        <v>12</v>
      </c>
      <c r="K1" s="7" t="s">
        <v>13</v>
      </c>
      <c r="L1" s="7" t="s">
        <v>8</v>
      </c>
      <c r="M1" s="7" t="s">
        <v>21</v>
      </c>
      <c r="N1" s="7" t="s">
        <v>7</v>
      </c>
      <c r="O1" s="7" t="s">
        <v>6</v>
      </c>
      <c r="P1" s="7" t="s">
        <v>5</v>
      </c>
      <c r="Q1" s="7" t="s">
        <v>9</v>
      </c>
      <c r="R1" s="7" t="s">
        <v>10</v>
      </c>
      <c r="S1" s="7" t="s">
        <v>11</v>
      </c>
      <c r="T1" s="7" t="s">
        <v>14</v>
      </c>
      <c r="U1" s="7" t="s">
        <v>15</v>
      </c>
      <c r="V1" s="7" t="s">
        <v>12</v>
      </c>
      <c r="W1" s="7" t="s">
        <v>13</v>
      </c>
      <c r="X1" s="7" t="s">
        <v>8</v>
      </c>
      <c r="Y1" s="7" t="s">
        <v>22</v>
      </c>
      <c r="Z1" s="7" t="s">
        <v>25</v>
      </c>
      <c r="AA1" s="7" t="s">
        <v>6</v>
      </c>
      <c r="AB1" s="7" t="s">
        <v>5</v>
      </c>
      <c r="AC1" s="7" t="s">
        <v>9</v>
      </c>
      <c r="AD1" s="7" t="s">
        <v>10</v>
      </c>
      <c r="AE1" s="7" t="s">
        <v>11</v>
      </c>
      <c r="AF1" s="7" t="s">
        <v>14</v>
      </c>
      <c r="AG1" s="7" t="s">
        <v>15</v>
      </c>
      <c r="AH1" s="7" t="s">
        <v>12</v>
      </c>
      <c r="AI1" s="7" t="s">
        <v>13</v>
      </c>
      <c r="AJ1" s="7" t="s">
        <v>8</v>
      </c>
      <c r="AK1" s="7" t="s">
        <v>22</v>
      </c>
      <c r="AL1" s="7" t="s">
        <v>25</v>
      </c>
      <c r="AM1" s="6" t="s">
        <v>4</v>
      </c>
    </row>
    <row r="2" spans="2:39" x14ac:dyDescent="0.15">
      <c r="B2" s="4" t="s">
        <v>3</v>
      </c>
      <c r="C2" s="4">
        <f>C9</f>
        <v>0</v>
      </c>
      <c r="D2" s="4">
        <f t="shared" ref="D2:N2" si="0">D9</f>
        <v>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4">
        <f>C16</f>
        <v>0</v>
      </c>
      <c r="P2" s="4">
        <f t="shared" ref="P2:Z5" si="1">D16</f>
        <v>0</v>
      </c>
      <c r="Q2" s="4">
        <f t="shared" si="1"/>
        <v>0</v>
      </c>
      <c r="R2" s="4">
        <f t="shared" si="1"/>
        <v>0</v>
      </c>
      <c r="S2" s="4">
        <f t="shared" si="1"/>
        <v>0</v>
      </c>
      <c r="T2" s="4">
        <f t="shared" si="1"/>
        <v>0</v>
      </c>
      <c r="U2" s="4">
        <f t="shared" si="1"/>
        <v>0</v>
      </c>
      <c r="V2" s="4">
        <f t="shared" si="1"/>
        <v>0</v>
      </c>
      <c r="W2" s="4">
        <f t="shared" si="1"/>
        <v>0</v>
      </c>
      <c r="X2" s="4">
        <f t="shared" si="1"/>
        <v>0</v>
      </c>
      <c r="Y2" s="4">
        <f t="shared" si="1"/>
        <v>0</v>
      </c>
      <c r="Z2" s="4">
        <f>N16</f>
        <v>0</v>
      </c>
      <c r="AA2" s="4">
        <f>O16</f>
        <v>0</v>
      </c>
      <c r="AB2" s="4">
        <f t="shared" ref="AB2:AB3" si="2">P16</f>
        <v>0</v>
      </c>
      <c r="AC2" s="4">
        <f t="shared" ref="AC2:AC3" si="3">Q16</f>
        <v>0</v>
      </c>
      <c r="AD2" s="4">
        <f t="shared" ref="AD2:AD3" si="4">R16</f>
        <v>0</v>
      </c>
      <c r="AE2" s="4">
        <f t="shared" ref="AE2:AE3" si="5">S16</f>
        <v>0</v>
      </c>
      <c r="AF2" s="4">
        <f t="shared" ref="AF2:AF3" si="6">T16</f>
        <v>0</v>
      </c>
      <c r="AG2" s="4">
        <f t="shared" ref="AG2:AG3" si="7">U16</f>
        <v>0</v>
      </c>
      <c r="AH2" s="4">
        <f t="shared" ref="AH2:AH3" si="8">V16</f>
        <v>0</v>
      </c>
      <c r="AI2" s="4">
        <f t="shared" ref="AI2:AI3" si="9">W16</f>
        <v>0</v>
      </c>
      <c r="AJ2" s="4">
        <f t="shared" ref="AJ2:AJ3" si="10">X16</f>
        <v>0</v>
      </c>
      <c r="AK2" s="4">
        <f t="shared" ref="AK2:AK3" si="11">Y16</f>
        <v>0</v>
      </c>
      <c r="AL2" s="4">
        <f t="shared" ref="AL2:AL3" si="12">Z16</f>
        <v>0</v>
      </c>
      <c r="AM2" s="2">
        <f>SUM(C2:O2)</f>
        <v>0</v>
      </c>
    </row>
    <row r="3" spans="2:39" x14ac:dyDescent="0.15">
      <c r="B3" s="4" t="s">
        <v>2</v>
      </c>
      <c r="C3" s="4">
        <f t="shared" ref="C3:N5" si="13">C10</f>
        <v>0</v>
      </c>
      <c r="D3" s="4">
        <f t="shared" si="13"/>
        <v>0</v>
      </c>
      <c r="E3" s="4">
        <f t="shared" si="13"/>
        <v>0</v>
      </c>
      <c r="F3" s="4">
        <f t="shared" si="13"/>
        <v>0</v>
      </c>
      <c r="G3" s="4">
        <f t="shared" si="13"/>
        <v>0</v>
      </c>
      <c r="H3" s="4">
        <f t="shared" si="13"/>
        <v>0</v>
      </c>
      <c r="I3" s="4">
        <f t="shared" si="13"/>
        <v>0</v>
      </c>
      <c r="J3" s="4">
        <f t="shared" si="13"/>
        <v>0</v>
      </c>
      <c r="K3" s="4">
        <f t="shared" si="13"/>
        <v>0</v>
      </c>
      <c r="L3" s="4">
        <f t="shared" si="13"/>
        <v>0</v>
      </c>
      <c r="M3" s="4">
        <f t="shared" si="13"/>
        <v>0</v>
      </c>
      <c r="N3" s="4">
        <f t="shared" si="13"/>
        <v>0</v>
      </c>
      <c r="O3" s="4">
        <f t="shared" ref="O3:O5" si="14">C17</f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ref="AA3" si="15">O17</f>
        <v>0</v>
      </c>
      <c r="AB3" s="4">
        <f t="shared" si="2"/>
        <v>0</v>
      </c>
      <c r="AC3" s="4">
        <f t="shared" si="3"/>
        <v>0</v>
      </c>
      <c r="AD3" s="4">
        <f t="shared" si="4"/>
        <v>0</v>
      </c>
      <c r="AE3" s="4">
        <f t="shared" si="5"/>
        <v>0</v>
      </c>
      <c r="AF3" s="4">
        <f t="shared" si="6"/>
        <v>0</v>
      </c>
      <c r="AG3" s="4">
        <f t="shared" si="7"/>
        <v>0</v>
      </c>
      <c r="AH3" s="4">
        <f t="shared" si="8"/>
        <v>0</v>
      </c>
      <c r="AI3" s="4">
        <f t="shared" si="9"/>
        <v>0</v>
      </c>
      <c r="AJ3" s="4">
        <f t="shared" si="10"/>
        <v>0</v>
      </c>
      <c r="AK3" s="4">
        <f t="shared" si="11"/>
        <v>0</v>
      </c>
      <c r="AL3" s="4">
        <f t="shared" si="12"/>
        <v>0</v>
      </c>
      <c r="AM3" s="2">
        <f>SUM(C3:N3)</f>
        <v>0</v>
      </c>
    </row>
    <row r="4" spans="2:39" x14ac:dyDescent="0.15">
      <c r="B4" s="4" t="s">
        <v>1</v>
      </c>
      <c r="C4" s="4">
        <f t="shared" si="13"/>
        <v>10</v>
      </c>
      <c r="D4" s="4">
        <f t="shared" si="13"/>
        <v>10</v>
      </c>
      <c r="E4" s="4">
        <f t="shared" si="13"/>
        <v>12</v>
      </c>
      <c r="F4" s="4">
        <f t="shared" si="13"/>
        <v>9</v>
      </c>
      <c r="G4" s="4">
        <f t="shared" si="13"/>
        <v>7</v>
      </c>
      <c r="H4" s="4">
        <f t="shared" si="13"/>
        <v>10</v>
      </c>
      <c r="I4" s="4">
        <f t="shared" si="13"/>
        <v>3</v>
      </c>
      <c r="J4" s="4">
        <f t="shared" si="13"/>
        <v>6</v>
      </c>
      <c r="K4" s="4">
        <f t="shared" si="13"/>
        <v>5</v>
      </c>
      <c r="L4" s="4">
        <f t="shared" si="13"/>
        <v>8</v>
      </c>
      <c r="M4" s="4">
        <f t="shared" si="13"/>
        <v>8</v>
      </c>
      <c r="N4" s="4">
        <f t="shared" si="13"/>
        <v>9</v>
      </c>
      <c r="O4" s="4">
        <f t="shared" si="14"/>
        <v>4</v>
      </c>
      <c r="P4" s="4">
        <f t="shared" si="1"/>
        <v>4</v>
      </c>
      <c r="Q4" s="4">
        <f t="shared" si="1"/>
        <v>1</v>
      </c>
      <c r="R4" s="4">
        <f t="shared" si="1"/>
        <v>2</v>
      </c>
      <c r="S4" s="4">
        <f t="shared" si="1"/>
        <v>1</v>
      </c>
      <c r="T4" s="4">
        <f t="shared" si="1"/>
        <v>16</v>
      </c>
      <c r="U4" s="4">
        <f t="shared" si="1"/>
        <v>3</v>
      </c>
      <c r="V4" s="4">
        <f t="shared" si="1"/>
        <v>17</v>
      </c>
      <c r="W4" s="4">
        <f t="shared" si="1"/>
        <v>10</v>
      </c>
      <c r="X4" s="4">
        <f t="shared" si="1"/>
        <v>3</v>
      </c>
      <c r="Y4" s="4">
        <f t="shared" si="1"/>
        <v>7</v>
      </c>
      <c r="Z4" s="4">
        <f t="shared" si="1"/>
        <v>0</v>
      </c>
      <c r="AA4" s="4">
        <f t="shared" ref="AA4:AL4" si="16">C24</f>
        <v>6</v>
      </c>
      <c r="AB4" s="4">
        <f t="shared" si="16"/>
        <v>3</v>
      </c>
      <c r="AC4" s="4">
        <f t="shared" si="16"/>
        <v>7</v>
      </c>
      <c r="AD4" s="4">
        <f t="shared" si="16"/>
        <v>2</v>
      </c>
      <c r="AE4" s="4">
        <f t="shared" si="16"/>
        <v>1</v>
      </c>
      <c r="AF4" s="4">
        <f t="shared" si="16"/>
        <v>6</v>
      </c>
      <c r="AG4" s="4">
        <f t="shared" si="16"/>
        <v>9</v>
      </c>
      <c r="AH4" s="4">
        <f t="shared" si="16"/>
        <v>9</v>
      </c>
      <c r="AI4" s="4">
        <f t="shared" si="16"/>
        <v>4</v>
      </c>
      <c r="AJ4" s="4">
        <f t="shared" si="16"/>
        <v>3</v>
      </c>
      <c r="AK4" s="4">
        <f t="shared" si="16"/>
        <v>4</v>
      </c>
      <c r="AL4" s="4">
        <f t="shared" si="16"/>
        <v>9</v>
      </c>
      <c r="AM4" s="2">
        <f>SUM(C4:AL4)</f>
        <v>228</v>
      </c>
    </row>
    <row r="5" spans="2:39" x14ac:dyDescent="0.15">
      <c r="B5" s="4" t="s">
        <v>0</v>
      </c>
      <c r="C5" s="4">
        <f t="shared" si="13"/>
        <v>240</v>
      </c>
      <c r="D5" s="4">
        <f t="shared" si="13"/>
        <v>131</v>
      </c>
      <c r="E5" s="4">
        <f t="shared" si="13"/>
        <v>149</v>
      </c>
      <c r="F5" s="4">
        <f t="shared" si="13"/>
        <v>163</v>
      </c>
      <c r="G5" s="4">
        <f t="shared" si="13"/>
        <v>67</v>
      </c>
      <c r="H5" s="4">
        <f t="shared" si="13"/>
        <v>88</v>
      </c>
      <c r="I5" s="4">
        <f t="shared" si="13"/>
        <v>71</v>
      </c>
      <c r="J5" s="4">
        <f t="shared" si="13"/>
        <v>95</v>
      </c>
      <c r="K5" s="4">
        <f t="shared" si="13"/>
        <v>62</v>
      </c>
      <c r="L5" s="4">
        <f t="shared" si="13"/>
        <v>88</v>
      </c>
      <c r="M5" s="4">
        <f t="shared" si="13"/>
        <v>148</v>
      </c>
      <c r="N5" s="4">
        <f t="shared" si="13"/>
        <v>131</v>
      </c>
      <c r="O5" s="4">
        <f t="shared" si="14"/>
        <v>90</v>
      </c>
      <c r="P5" s="4">
        <f t="shared" si="1"/>
        <v>108</v>
      </c>
      <c r="Q5" s="4">
        <f t="shared" si="1"/>
        <v>67</v>
      </c>
      <c r="R5" s="4">
        <f t="shared" si="1"/>
        <v>101</v>
      </c>
      <c r="S5" s="4">
        <f t="shared" si="1"/>
        <v>107</v>
      </c>
      <c r="T5" s="4">
        <f t="shared" si="1"/>
        <v>86</v>
      </c>
      <c r="U5" s="4">
        <f t="shared" si="1"/>
        <v>59</v>
      </c>
      <c r="V5" s="4">
        <f t="shared" si="1"/>
        <v>95</v>
      </c>
      <c r="W5" s="4">
        <f t="shared" si="1"/>
        <v>98</v>
      </c>
      <c r="X5" s="4">
        <f t="shared" si="1"/>
        <v>42</v>
      </c>
      <c r="Y5" s="4">
        <f t="shared" si="1"/>
        <v>59</v>
      </c>
      <c r="Z5" s="4">
        <f t="shared" si="1"/>
        <v>62</v>
      </c>
      <c r="AA5" s="4">
        <f t="shared" ref="AA5:AL5" si="17">C26</f>
        <v>52</v>
      </c>
      <c r="AB5" s="4">
        <f t="shared" si="17"/>
        <v>47</v>
      </c>
      <c r="AC5" s="4">
        <f t="shared" si="17"/>
        <v>65</v>
      </c>
      <c r="AD5" s="4">
        <f t="shared" si="17"/>
        <v>62</v>
      </c>
      <c r="AE5" s="4">
        <f t="shared" si="17"/>
        <v>52</v>
      </c>
      <c r="AF5" s="4">
        <f t="shared" si="17"/>
        <v>62</v>
      </c>
      <c r="AG5" s="4">
        <f t="shared" si="17"/>
        <v>53</v>
      </c>
      <c r="AH5" s="4">
        <f t="shared" si="17"/>
        <v>64</v>
      </c>
      <c r="AI5" s="4">
        <f t="shared" si="17"/>
        <v>59</v>
      </c>
      <c r="AJ5" s="4">
        <f t="shared" si="17"/>
        <v>51</v>
      </c>
      <c r="AK5" s="4">
        <f t="shared" si="17"/>
        <v>72</v>
      </c>
      <c r="AL5" s="4">
        <f t="shared" si="17"/>
        <v>60</v>
      </c>
      <c r="AM5" s="2" t="e">
        <f>SUM(AI11C5:AL5)</f>
        <v>#NAME?</v>
      </c>
    </row>
    <row r="6" spans="2:39" s="8" customFormat="1" ht="12" customHeight="1" x14ac:dyDescent="0.15">
      <c r="E6" s="9"/>
    </row>
    <row r="7" spans="2:39" x14ac:dyDescent="0.15">
      <c r="B7" s="1" t="s">
        <v>17</v>
      </c>
    </row>
    <row r="8" spans="2:39" x14ac:dyDescent="0.15">
      <c r="B8" s="7"/>
      <c r="C8" s="7" t="s">
        <v>23</v>
      </c>
      <c r="D8" s="7" t="s">
        <v>5</v>
      </c>
      <c r="E8" s="7" t="s">
        <v>9</v>
      </c>
      <c r="F8" s="7" t="s">
        <v>10</v>
      </c>
      <c r="G8" s="7" t="s">
        <v>11</v>
      </c>
      <c r="H8" s="7" t="s">
        <v>14</v>
      </c>
      <c r="I8" s="7" t="s">
        <v>15</v>
      </c>
      <c r="J8" s="7" t="s">
        <v>12</v>
      </c>
      <c r="K8" s="7" t="s">
        <v>13</v>
      </c>
      <c r="L8" s="7" t="s">
        <v>8</v>
      </c>
      <c r="M8" s="7" t="s">
        <v>16</v>
      </c>
      <c r="N8" s="7" t="s">
        <v>7</v>
      </c>
      <c r="O8" s="6" t="s">
        <v>4</v>
      </c>
      <c r="AA8" s="5"/>
    </row>
    <row r="9" spans="2:39" x14ac:dyDescent="0.15">
      <c r="B9" s="4" t="s">
        <v>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3"/>
      <c r="O9" s="2">
        <f>SUM(C9:N9)</f>
        <v>0</v>
      </c>
    </row>
    <row r="10" spans="2:39" x14ac:dyDescent="0.15">
      <c r="B10" s="4" t="s">
        <v>2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3"/>
      <c r="O10" s="2">
        <f>SUM(C10:N10)</f>
        <v>0</v>
      </c>
    </row>
    <row r="11" spans="2:39" x14ac:dyDescent="0.15">
      <c r="B11" s="4" t="s">
        <v>1</v>
      </c>
      <c r="C11" s="4">
        <v>10</v>
      </c>
      <c r="D11" s="4">
        <v>10</v>
      </c>
      <c r="E11" s="4">
        <v>12</v>
      </c>
      <c r="F11" s="4">
        <v>9</v>
      </c>
      <c r="G11" s="4">
        <v>7</v>
      </c>
      <c r="H11" s="4">
        <v>10</v>
      </c>
      <c r="I11" s="4">
        <v>3</v>
      </c>
      <c r="J11" s="4">
        <v>6</v>
      </c>
      <c r="K11" s="4">
        <v>5</v>
      </c>
      <c r="L11" s="4">
        <v>8</v>
      </c>
      <c r="M11" s="3">
        <v>8</v>
      </c>
      <c r="N11" s="3">
        <v>9</v>
      </c>
      <c r="O11" s="2">
        <f>SUM(C11:N11)</f>
        <v>97</v>
      </c>
    </row>
    <row r="12" spans="2:39" x14ac:dyDescent="0.15">
      <c r="B12" s="4" t="s">
        <v>0</v>
      </c>
      <c r="C12" s="4">
        <v>240</v>
      </c>
      <c r="D12" s="4">
        <v>131</v>
      </c>
      <c r="E12" s="4">
        <v>149</v>
      </c>
      <c r="F12" s="4">
        <v>163</v>
      </c>
      <c r="G12" s="4">
        <v>67</v>
      </c>
      <c r="H12" s="4">
        <v>88</v>
      </c>
      <c r="I12" s="4">
        <v>71</v>
      </c>
      <c r="J12" s="4">
        <v>95</v>
      </c>
      <c r="K12" s="4">
        <v>62</v>
      </c>
      <c r="L12" s="4">
        <v>88</v>
      </c>
      <c r="M12" s="3">
        <v>148</v>
      </c>
      <c r="N12" s="3">
        <v>131</v>
      </c>
      <c r="O12" s="2">
        <f>SUM(C12:N12)</f>
        <v>1433</v>
      </c>
    </row>
    <row r="14" spans="2:39" ht="21" customHeight="1" x14ac:dyDescent="0.15">
      <c r="B14" s="1" t="s">
        <v>18</v>
      </c>
    </row>
    <row r="15" spans="2:39" ht="21" customHeight="1" x14ac:dyDescent="0.15">
      <c r="B15" s="7"/>
      <c r="C15" s="7" t="s">
        <v>23</v>
      </c>
      <c r="D15" s="7" t="s">
        <v>5</v>
      </c>
      <c r="E15" s="7" t="s">
        <v>9</v>
      </c>
      <c r="F15" s="7" t="s">
        <v>10</v>
      </c>
      <c r="G15" s="7" t="s">
        <v>11</v>
      </c>
      <c r="H15" s="7" t="s">
        <v>14</v>
      </c>
      <c r="I15" s="7" t="s">
        <v>15</v>
      </c>
      <c r="J15" s="7" t="s">
        <v>12</v>
      </c>
      <c r="K15" s="7" t="s">
        <v>13</v>
      </c>
      <c r="L15" s="7" t="s">
        <v>8</v>
      </c>
      <c r="M15" s="7" t="s">
        <v>16</v>
      </c>
      <c r="N15" s="7" t="s">
        <v>7</v>
      </c>
      <c r="O15" s="6" t="s">
        <v>4</v>
      </c>
      <c r="AA15" s="5"/>
    </row>
    <row r="16" spans="2:39" ht="21" customHeight="1" x14ac:dyDescent="0.15">
      <c r="B16" s="4" t="s">
        <v>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  <c r="N16" s="13"/>
      <c r="O16" s="15">
        <f>SUM(C16:N16)</f>
        <v>0</v>
      </c>
    </row>
    <row r="17" spans="2:27" ht="21" customHeight="1" x14ac:dyDescent="0.15">
      <c r="B17" s="4" t="s">
        <v>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13"/>
      <c r="O17" s="15">
        <f t="shared" ref="O17:O18" si="18">SUM(C17:N17)</f>
        <v>0</v>
      </c>
    </row>
    <row r="18" spans="2:27" ht="21" customHeight="1" x14ac:dyDescent="0.15">
      <c r="B18" s="4" t="s">
        <v>1</v>
      </c>
      <c r="C18" s="4">
        <v>4</v>
      </c>
      <c r="D18" s="4">
        <v>4</v>
      </c>
      <c r="E18" s="4">
        <v>1</v>
      </c>
      <c r="F18" s="4">
        <v>2</v>
      </c>
      <c r="G18" s="4">
        <v>1</v>
      </c>
      <c r="H18" s="4">
        <v>16</v>
      </c>
      <c r="I18" s="4">
        <v>3</v>
      </c>
      <c r="J18" s="4">
        <v>17</v>
      </c>
      <c r="K18" s="4">
        <v>10</v>
      </c>
      <c r="L18" s="4">
        <v>3</v>
      </c>
      <c r="M18" s="3">
        <v>7</v>
      </c>
      <c r="N18" s="3">
        <v>0</v>
      </c>
      <c r="O18" s="15">
        <f t="shared" si="18"/>
        <v>68</v>
      </c>
    </row>
    <row r="19" spans="2:27" ht="21" customHeight="1" x14ac:dyDescent="0.15">
      <c r="B19" s="4" t="s">
        <v>0</v>
      </c>
      <c r="C19" s="4">
        <v>90</v>
      </c>
      <c r="D19" s="4">
        <v>108</v>
      </c>
      <c r="E19" s="4">
        <v>67</v>
      </c>
      <c r="F19" s="4">
        <v>101</v>
      </c>
      <c r="G19" s="4">
        <v>107</v>
      </c>
      <c r="H19" s="4">
        <v>86</v>
      </c>
      <c r="I19" s="4">
        <v>59</v>
      </c>
      <c r="J19" s="4">
        <v>95</v>
      </c>
      <c r="K19" s="4">
        <v>98</v>
      </c>
      <c r="L19" s="4">
        <v>42</v>
      </c>
      <c r="M19" s="3">
        <v>59</v>
      </c>
      <c r="N19" s="3">
        <v>62</v>
      </c>
      <c r="O19" s="15">
        <f>SUM(C19:N19)+O12</f>
        <v>2407</v>
      </c>
    </row>
    <row r="20" spans="2:27" ht="21" customHeight="1" x14ac:dyDescent="0.15"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6"/>
    </row>
    <row r="21" spans="2:27" ht="21" customHeight="1" x14ac:dyDescent="0.15">
      <c r="B21" s="1" t="s">
        <v>24</v>
      </c>
      <c r="O21" s="16"/>
    </row>
    <row r="22" spans="2:27" ht="21" customHeight="1" x14ac:dyDescent="0.15">
      <c r="B22" s="7"/>
      <c r="C22" s="7" t="s">
        <v>23</v>
      </c>
      <c r="D22" s="7" t="s">
        <v>5</v>
      </c>
      <c r="E22" s="7" t="s">
        <v>9</v>
      </c>
      <c r="F22" s="7" t="s">
        <v>10</v>
      </c>
      <c r="G22" s="7" t="s">
        <v>11</v>
      </c>
      <c r="H22" s="7" t="s">
        <v>14</v>
      </c>
      <c r="I22" s="7" t="s">
        <v>15</v>
      </c>
      <c r="J22" s="7" t="s">
        <v>12</v>
      </c>
      <c r="K22" s="7" t="s">
        <v>13</v>
      </c>
      <c r="L22" s="7" t="s">
        <v>8</v>
      </c>
      <c r="M22" s="7" t="s">
        <v>16</v>
      </c>
      <c r="N22" s="7" t="s">
        <v>7</v>
      </c>
      <c r="O22" s="17" t="s">
        <v>4</v>
      </c>
      <c r="AA22" s="5"/>
    </row>
    <row r="23" spans="2:27" ht="21" customHeight="1" x14ac:dyDescent="0.15">
      <c r="B23" s="4" t="s">
        <v>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/>
      <c r="N23" s="13"/>
      <c r="O23" s="15">
        <f>SUM(C23:N23)</f>
        <v>0</v>
      </c>
    </row>
    <row r="24" spans="2:27" ht="21" customHeight="1" x14ac:dyDescent="0.15">
      <c r="B24" s="4" t="s">
        <v>1</v>
      </c>
      <c r="C24" s="4">
        <v>6</v>
      </c>
      <c r="D24" s="4">
        <v>3</v>
      </c>
      <c r="E24" s="4">
        <v>7</v>
      </c>
      <c r="F24" s="4">
        <v>2</v>
      </c>
      <c r="G24" s="4">
        <v>1</v>
      </c>
      <c r="H24" s="4">
        <v>6</v>
      </c>
      <c r="I24" s="4">
        <v>9</v>
      </c>
      <c r="J24" s="4">
        <v>9</v>
      </c>
      <c r="K24" s="4">
        <v>4</v>
      </c>
      <c r="L24" s="4">
        <v>3</v>
      </c>
      <c r="M24" s="3">
        <v>4</v>
      </c>
      <c r="N24" s="3">
        <v>9</v>
      </c>
      <c r="O24" s="15">
        <f t="shared" ref="O24" si="19">SUM(C24:N24)</f>
        <v>63</v>
      </c>
    </row>
    <row r="25" spans="2:27" ht="21" customHeight="1" x14ac:dyDescent="0.15">
      <c r="B25" s="4" t="s">
        <v>26</v>
      </c>
      <c r="C25" s="4">
        <v>435</v>
      </c>
      <c r="D25" s="4">
        <v>611</v>
      </c>
      <c r="E25" s="4">
        <v>365</v>
      </c>
      <c r="F25" s="4">
        <v>258</v>
      </c>
      <c r="G25" s="4">
        <v>343</v>
      </c>
      <c r="H25" s="4">
        <v>383</v>
      </c>
      <c r="I25" s="4">
        <v>500</v>
      </c>
      <c r="J25" s="4">
        <v>656</v>
      </c>
      <c r="K25" s="4">
        <v>552</v>
      </c>
      <c r="L25" s="4">
        <v>557</v>
      </c>
      <c r="M25" s="3">
        <v>538</v>
      </c>
      <c r="N25" s="14">
        <v>437</v>
      </c>
      <c r="O25" s="15">
        <f>SUM(C25:N25)</f>
        <v>5635</v>
      </c>
    </row>
    <row r="26" spans="2:27" ht="21" customHeight="1" x14ac:dyDescent="0.15">
      <c r="B26" s="4" t="s">
        <v>0</v>
      </c>
      <c r="C26" s="4">
        <v>52</v>
      </c>
      <c r="D26" s="4">
        <v>47</v>
      </c>
      <c r="E26" s="4">
        <v>65</v>
      </c>
      <c r="F26" s="4">
        <v>62</v>
      </c>
      <c r="G26" s="4">
        <v>52</v>
      </c>
      <c r="H26" s="4">
        <v>62</v>
      </c>
      <c r="I26" s="4">
        <v>53</v>
      </c>
      <c r="J26" s="4">
        <v>64</v>
      </c>
      <c r="K26" s="4">
        <v>59</v>
      </c>
      <c r="L26" s="4">
        <v>51</v>
      </c>
      <c r="M26" s="3">
        <v>72</v>
      </c>
      <c r="N26" s="3">
        <v>60</v>
      </c>
      <c r="O26" s="15">
        <f>SUM(C26:N26)+O19</f>
        <v>3106</v>
      </c>
    </row>
    <row r="27" spans="2:27" ht="21" customHeight="1" x14ac:dyDescent="0.15">
      <c r="C27" s="10"/>
      <c r="H27" s="10"/>
      <c r="I27" s="10"/>
      <c r="J27" s="10"/>
      <c r="K27" s="10"/>
      <c r="L27" s="10"/>
      <c r="M27" s="10"/>
      <c r="N27" s="10"/>
    </row>
    <row r="28" spans="2:27" ht="21" customHeight="1" x14ac:dyDescent="0.15">
      <c r="B28" s="1" t="s">
        <v>28</v>
      </c>
      <c r="O28" s="16"/>
    </row>
    <row r="29" spans="2:27" ht="21" customHeight="1" x14ac:dyDescent="0.15">
      <c r="B29" s="7"/>
      <c r="C29" s="7" t="s">
        <v>23</v>
      </c>
      <c r="D29" s="7" t="s">
        <v>5</v>
      </c>
      <c r="E29" s="7" t="s">
        <v>9</v>
      </c>
      <c r="F29" s="7" t="s">
        <v>10</v>
      </c>
      <c r="G29" s="7" t="s">
        <v>11</v>
      </c>
      <c r="H29" s="7" t="s">
        <v>14</v>
      </c>
      <c r="I29" s="7" t="s">
        <v>15</v>
      </c>
      <c r="J29" s="7" t="s">
        <v>12</v>
      </c>
      <c r="K29" s="7" t="s">
        <v>13</v>
      </c>
      <c r="L29" s="7" t="s">
        <v>8</v>
      </c>
      <c r="M29" s="7" t="s">
        <v>16</v>
      </c>
      <c r="N29" s="7" t="s">
        <v>7</v>
      </c>
      <c r="O29" s="17" t="s">
        <v>4</v>
      </c>
      <c r="AA29" s="5"/>
    </row>
    <row r="30" spans="2:27" ht="21" customHeight="1" x14ac:dyDescent="0.15">
      <c r="B30" s="4" t="s">
        <v>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  <c r="N30" s="13"/>
      <c r="O30" s="15">
        <f>SUM(C30:N30)</f>
        <v>0</v>
      </c>
    </row>
    <row r="31" spans="2:27" ht="21" customHeight="1" x14ac:dyDescent="0.15">
      <c r="B31" s="4" t="s">
        <v>1</v>
      </c>
      <c r="C31" s="4">
        <v>3</v>
      </c>
      <c r="D31" s="4">
        <v>5</v>
      </c>
      <c r="E31" s="4">
        <v>10</v>
      </c>
      <c r="F31" s="4">
        <v>1</v>
      </c>
      <c r="G31" s="4">
        <v>2</v>
      </c>
      <c r="H31" s="4">
        <v>6</v>
      </c>
      <c r="I31" s="4">
        <v>7</v>
      </c>
      <c r="J31" s="4">
        <v>2</v>
      </c>
      <c r="K31" s="4">
        <v>8</v>
      </c>
      <c r="L31" s="4">
        <v>5</v>
      </c>
      <c r="M31" s="3">
        <v>7</v>
      </c>
      <c r="N31" s="3">
        <v>5</v>
      </c>
      <c r="O31" s="15">
        <f t="shared" ref="O31" si="20">SUM(C31:N31)</f>
        <v>61</v>
      </c>
    </row>
    <row r="32" spans="2:27" ht="21" customHeight="1" x14ac:dyDescent="0.15">
      <c r="B32" s="4" t="s">
        <v>26</v>
      </c>
      <c r="C32" s="4">
        <v>416</v>
      </c>
      <c r="D32" s="4">
        <v>448</v>
      </c>
      <c r="E32" s="4">
        <v>595</v>
      </c>
      <c r="F32" s="4">
        <v>583</v>
      </c>
      <c r="G32" s="4">
        <v>413</v>
      </c>
      <c r="H32" s="4">
        <v>395</v>
      </c>
      <c r="I32" s="4">
        <v>375</v>
      </c>
      <c r="J32" s="4">
        <v>369</v>
      </c>
      <c r="K32" s="4">
        <v>423</v>
      </c>
      <c r="L32" s="4">
        <v>449</v>
      </c>
      <c r="M32" s="3">
        <v>429</v>
      </c>
      <c r="N32" s="14">
        <v>261</v>
      </c>
      <c r="O32" s="15">
        <f>SUM(C32:N32)</f>
        <v>5156</v>
      </c>
    </row>
    <row r="33" spans="2:27" ht="21" customHeight="1" x14ac:dyDescent="0.15">
      <c r="B33" s="4" t="s">
        <v>0</v>
      </c>
      <c r="C33" s="4">
        <v>56</v>
      </c>
      <c r="D33" s="4">
        <v>64</v>
      </c>
      <c r="E33" s="4">
        <v>56</v>
      </c>
      <c r="F33" s="4">
        <v>50</v>
      </c>
      <c r="G33" s="4">
        <v>55</v>
      </c>
      <c r="H33" s="4">
        <v>76</v>
      </c>
      <c r="I33" s="4">
        <v>65</v>
      </c>
      <c r="J33" s="4">
        <v>61</v>
      </c>
      <c r="K33" s="4">
        <v>102</v>
      </c>
      <c r="L33" s="4">
        <v>80</v>
      </c>
      <c r="M33" s="3">
        <v>75</v>
      </c>
      <c r="N33" s="3">
        <v>58</v>
      </c>
      <c r="O33" s="15">
        <f>SUM(C33:N33)+O26</f>
        <v>3904</v>
      </c>
    </row>
    <row r="34" spans="2:27" ht="21" customHeight="1" x14ac:dyDescent="0.15">
      <c r="C34" s="10"/>
      <c r="H34" s="10"/>
      <c r="I34" s="10"/>
      <c r="J34" s="10"/>
      <c r="K34" s="10"/>
      <c r="L34" s="10"/>
      <c r="M34" s="10"/>
      <c r="N34" s="10"/>
    </row>
    <row r="35" spans="2:27" ht="21" customHeight="1" x14ac:dyDescent="0.15">
      <c r="B35" s="1" t="s">
        <v>29</v>
      </c>
      <c r="O35" s="16"/>
    </row>
    <row r="36" spans="2:27" ht="21" customHeight="1" x14ac:dyDescent="0.15">
      <c r="B36" s="7"/>
      <c r="C36" s="7" t="s">
        <v>23</v>
      </c>
      <c r="D36" s="7" t="s">
        <v>5</v>
      </c>
      <c r="E36" s="7" t="s">
        <v>9</v>
      </c>
      <c r="F36" s="7" t="s">
        <v>10</v>
      </c>
      <c r="G36" s="7" t="s">
        <v>11</v>
      </c>
      <c r="H36" s="7" t="s">
        <v>14</v>
      </c>
      <c r="I36" s="7" t="s">
        <v>15</v>
      </c>
      <c r="J36" s="7" t="s">
        <v>12</v>
      </c>
      <c r="K36" s="7" t="s">
        <v>13</v>
      </c>
      <c r="L36" s="7" t="s">
        <v>8</v>
      </c>
      <c r="M36" s="7" t="s">
        <v>16</v>
      </c>
      <c r="N36" s="7" t="s">
        <v>7</v>
      </c>
      <c r="O36" s="17" t="s">
        <v>4</v>
      </c>
      <c r="AA36" s="5"/>
    </row>
    <row r="37" spans="2:27" ht="21" customHeight="1" x14ac:dyDescent="0.15">
      <c r="B37" s="4" t="s">
        <v>3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2"/>
      <c r="N37" s="13"/>
      <c r="O37" s="15">
        <f>SUM(C37:N37)</f>
        <v>0</v>
      </c>
    </row>
    <row r="38" spans="2:27" ht="21" customHeight="1" x14ac:dyDescent="0.15">
      <c r="B38" s="4" t="s">
        <v>1</v>
      </c>
      <c r="C38" s="4">
        <v>2</v>
      </c>
      <c r="D38" s="4">
        <v>2</v>
      </c>
      <c r="E38" s="4"/>
      <c r="F38" s="4"/>
      <c r="G38" s="4"/>
      <c r="H38" s="4"/>
      <c r="I38" s="4"/>
      <c r="J38" s="4"/>
      <c r="K38" s="4"/>
      <c r="L38" s="4"/>
      <c r="M38" s="3"/>
      <c r="N38" s="3"/>
      <c r="O38" s="15">
        <f t="shared" ref="O38" si="21">SUM(C38:N38)</f>
        <v>4</v>
      </c>
    </row>
    <row r="39" spans="2:27" ht="21" customHeight="1" x14ac:dyDescent="0.15">
      <c r="B39" s="4" t="s">
        <v>26</v>
      </c>
      <c r="C39" s="4">
        <v>483</v>
      </c>
      <c r="D39" s="4">
        <v>254</v>
      </c>
      <c r="E39" s="4"/>
      <c r="F39" s="4"/>
      <c r="G39" s="4"/>
      <c r="H39" s="4"/>
      <c r="I39" s="4"/>
      <c r="J39" s="4"/>
      <c r="K39" s="4"/>
      <c r="L39" s="4"/>
      <c r="M39" s="3"/>
      <c r="N39" s="14"/>
      <c r="O39" s="15">
        <f>SUM(C39:N39)</f>
        <v>737</v>
      </c>
    </row>
    <row r="40" spans="2:27" ht="21" customHeight="1" x14ac:dyDescent="0.15">
      <c r="B40" s="4" t="s">
        <v>0</v>
      </c>
      <c r="C40" s="4">
        <v>61</v>
      </c>
      <c r="D40" s="4">
        <v>47</v>
      </c>
      <c r="E40" s="4"/>
      <c r="F40" s="4"/>
      <c r="G40" s="4"/>
      <c r="H40" s="4"/>
      <c r="I40" s="4"/>
      <c r="J40" s="4"/>
      <c r="K40" s="4"/>
      <c r="L40" s="4"/>
      <c r="M40" s="3"/>
      <c r="N40" s="3"/>
      <c r="O40" s="15">
        <f>SUM(C40:N40)+O33</f>
        <v>4012</v>
      </c>
    </row>
    <row r="41" spans="2:27" ht="21" customHeight="1" x14ac:dyDescent="0.15">
      <c r="C41" s="10"/>
      <c r="D41" s="1" t="s">
        <v>30</v>
      </c>
      <c r="H41" s="10"/>
      <c r="I41" s="10"/>
      <c r="J41" s="10"/>
      <c r="K41" s="10"/>
      <c r="L41" s="10"/>
      <c r="M41" s="10"/>
    </row>
  </sheetData>
  <phoneticPr fontId="2"/>
  <printOptions horizontalCentered="1" verticalCentered="1"/>
  <pageMargins left="0.19685039370078741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&amp;C&amp;"-,太字"&amp;14【&amp;A 様】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27"/>
  <sheetViews>
    <sheetView topLeftCell="A19" zoomScaleNormal="100" workbookViewId="0">
      <selection activeCell="F27" sqref="F27"/>
    </sheetView>
  </sheetViews>
  <sheetFormatPr defaultColWidth="12" defaultRowHeight="15.75" x14ac:dyDescent="0.15"/>
  <cols>
    <col min="1" max="16384" width="12" style="1"/>
  </cols>
  <sheetData>
    <row r="1" spans="2:39" s="5" customFormat="1" x14ac:dyDescent="0.15">
      <c r="B1" s="7"/>
      <c r="C1" s="7" t="s">
        <v>19</v>
      </c>
      <c r="D1" s="7" t="s">
        <v>20</v>
      </c>
      <c r="E1" s="7" t="s">
        <v>9</v>
      </c>
      <c r="F1" s="7" t="s">
        <v>10</v>
      </c>
      <c r="G1" s="7" t="s">
        <v>11</v>
      </c>
      <c r="H1" s="7" t="s">
        <v>14</v>
      </c>
      <c r="I1" s="7" t="s">
        <v>15</v>
      </c>
      <c r="J1" s="7" t="s">
        <v>12</v>
      </c>
      <c r="K1" s="7" t="s">
        <v>13</v>
      </c>
      <c r="L1" s="7" t="s">
        <v>8</v>
      </c>
      <c r="M1" s="7" t="s">
        <v>21</v>
      </c>
      <c r="N1" s="7" t="s">
        <v>7</v>
      </c>
      <c r="O1" s="7" t="s">
        <v>6</v>
      </c>
      <c r="P1" s="7" t="s">
        <v>5</v>
      </c>
      <c r="Q1" s="7" t="s">
        <v>9</v>
      </c>
      <c r="R1" s="7" t="s">
        <v>10</v>
      </c>
      <c r="S1" s="7" t="s">
        <v>11</v>
      </c>
      <c r="T1" s="7" t="s">
        <v>14</v>
      </c>
      <c r="U1" s="7" t="s">
        <v>15</v>
      </c>
      <c r="V1" s="7" t="s">
        <v>12</v>
      </c>
      <c r="W1" s="7" t="s">
        <v>13</v>
      </c>
      <c r="X1" s="7" t="s">
        <v>8</v>
      </c>
      <c r="Y1" s="7" t="s">
        <v>22</v>
      </c>
      <c r="Z1" s="7" t="s">
        <v>25</v>
      </c>
      <c r="AA1" s="7" t="s">
        <v>6</v>
      </c>
      <c r="AB1" s="7" t="s">
        <v>5</v>
      </c>
      <c r="AC1" s="7" t="s">
        <v>9</v>
      </c>
      <c r="AD1" s="7" t="s">
        <v>10</v>
      </c>
      <c r="AE1" s="7" t="s">
        <v>11</v>
      </c>
      <c r="AF1" s="7" t="s">
        <v>14</v>
      </c>
      <c r="AG1" s="7" t="s">
        <v>15</v>
      </c>
      <c r="AH1" s="7" t="s">
        <v>12</v>
      </c>
      <c r="AI1" s="7" t="s">
        <v>13</v>
      </c>
      <c r="AJ1" s="7" t="s">
        <v>8</v>
      </c>
      <c r="AK1" s="7" t="s">
        <v>22</v>
      </c>
      <c r="AL1" s="7" t="s">
        <v>25</v>
      </c>
      <c r="AM1" s="6" t="s">
        <v>4</v>
      </c>
    </row>
    <row r="2" spans="2:39" x14ac:dyDescent="0.15">
      <c r="B2" s="4" t="s">
        <v>3</v>
      </c>
      <c r="C2" s="4">
        <f>C9</f>
        <v>0</v>
      </c>
      <c r="D2" s="4">
        <f t="shared" ref="D2:N2" si="0">D9</f>
        <v>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4">
        <f>C16</f>
        <v>0</v>
      </c>
      <c r="P2" s="4">
        <f t="shared" ref="P2:AA5" si="1">D16</f>
        <v>0</v>
      </c>
      <c r="Q2" s="4">
        <f t="shared" si="1"/>
        <v>0</v>
      </c>
      <c r="R2" s="4">
        <f t="shared" si="1"/>
        <v>0</v>
      </c>
      <c r="S2" s="4">
        <f t="shared" si="1"/>
        <v>0</v>
      </c>
      <c r="T2" s="4">
        <f t="shared" si="1"/>
        <v>0</v>
      </c>
      <c r="U2" s="4">
        <f t="shared" si="1"/>
        <v>0</v>
      </c>
      <c r="V2" s="4">
        <f t="shared" si="1"/>
        <v>0</v>
      </c>
      <c r="W2" s="4">
        <f t="shared" si="1"/>
        <v>0</v>
      </c>
      <c r="X2" s="4">
        <f t="shared" si="1"/>
        <v>0</v>
      </c>
      <c r="Y2" s="4">
        <f t="shared" si="1"/>
        <v>0</v>
      </c>
      <c r="Z2" s="4">
        <f>N16</f>
        <v>0</v>
      </c>
      <c r="AA2" s="4">
        <f>O16</f>
        <v>0</v>
      </c>
      <c r="AB2" s="4">
        <f t="shared" ref="AB2:AL3" si="2">P16</f>
        <v>0</v>
      </c>
      <c r="AC2" s="4">
        <f t="shared" si="2"/>
        <v>0</v>
      </c>
      <c r="AD2" s="4">
        <f t="shared" si="2"/>
        <v>0</v>
      </c>
      <c r="AE2" s="4">
        <f t="shared" si="2"/>
        <v>0</v>
      </c>
      <c r="AF2" s="4">
        <f t="shared" si="2"/>
        <v>0</v>
      </c>
      <c r="AG2" s="4">
        <f t="shared" si="2"/>
        <v>0</v>
      </c>
      <c r="AH2" s="4">
        <f t="shared" si="2"/>
        <v>0</v>
      </c>
      <c r="AI2" s="4">
        <f t="shared" si="2"/>
        <v>0</v>
      </c>
      <c r="AJ2" s="4">
        <f t="shared" si="2"/>
        <v>0</v>
      </c>
      <c r="AK2" s="4">
        <f t="shared" si="2"/>
        <v>0</v>
      </c>
      <c r="AL2" s="4">
        <f t="shared" si="2"/>
        <v>0</v>
      </c>
      <c r="AM2" s="2">
        <f>SUM(C2:O2)</f>
        <v>0</v>
      </c>
    </row>
    <row r="3" spans="2:39" x14ac:dyDescent="0.15">
      <c r="B3" s="4" t="s">
        <v>2</v>
      </c>
      <c r="C3" s="4">
        <f t="shared" ref="C3:N5" si="3">C10</f>
        <v>0</v>
      </c>
      <c r="D3" s="4">
        <f t="shared" si="3"/>
        <v>0</v>
      </c>
      <c r="E3" s="4">
        <f t="shared" si="3"/>
        <v>0</v>
      </c>
      <c r="F3" s="4">
        <f t="shared" si="3"/>
        <v>0</v>
      </c>
      <c r="G3" s="4">
        <f t="shared" si="3"/>
        <v>0</v>
      </c>
      <c r="H3" s="4">
        <f t="shared" si="3"/>
        <v>0</v>
      </c>
      <c r="I3" s="4">
        <f t="shared" si="3"/>
        <v>0</v>
      </c>
      <c r="J3" s="4">
        <f t="shared" si="3"/>
        <v>0</v>
      </c>
      <c r="K3" s="4">
        <f t="shared" si="3"/>
        <v>0</v>
      </c>
      <c r="L3" s="4">
        <f t="shared" si="3"/>
        <v>0</v>
      </c>
      <c r="M3" s="4">
        <f t="shared" si="3"/>
        <v>0</v>
      </c>
      <c r="N3" s="4">
        <f t="shared" si="3"/>
        <v>0</v>
      </c>
      <c r="O3" s="4">
        <f t="shared" ref="O3:O5" si="4">C17</f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2"/>
        <v>0</v>
      </c>
      <c r="AC3" s="4">
        <f t="shared" si="2"/>
        <v>0</v>
      </c>
      <c r="AD3" s="4">
        <f t="shared" si="2"/>
        <v>0</v>
      </c>
      <c r="AE3" s="4">
        <f t="shared" si="2"/>
        <v>0</v>
      </c>
      <c r="AF3" s="4">
        <f t="shared" si="2"/>
        <v>0</v>
      </c>
      <c r="AG3" s="4">
        <f t="shared" si="2"/>
        <v>0</v>
      </c>
      <c r="AH3" s="4">
        <f t="shared" si="2"/>
        <v>0</v>
      </c>
      <c r="AI3" s="4">
        <f t="shared" si="2"/>
        <v>0</v>
      </c>
      <c r="AJ3" s="4">
        <f t="shared" si="2"/>
        <v>0</v>
      </c>
      <c r="AK3" s="4">
        <f t="shared" si="2"/>
        <v>0</v>
      </c>
      <c r="AL3" s="4">
        <f t="shared" si="2"/>
        <v>0</v>
      </c>
      <c r="AM3" s="2">
        <f>SUM(C3:N3)</f>
        <v>0</v>
      </c>
    </row>
    <row r="4" spans="2:39" x14ac:dyDescent="0.15">
      <c r="B4" s="4" t="s">
        <v>1</v>
      </c>
      <c r="C4" s="4">
        <f t="shared" si="3"/>
        <v>10</v>
      </c>
      <c r="D4" s="4">
        <f t="shared" si="3"/>
        <v>10</v>
      </c>
      <c r="E4" s="4">
        <f t="shared" si="3"/>
        <v>12</v>
      </c>
      <c r="F4" s="4">
        <f t="shared" si="3"/>
        <v>9</v>
      </c>
      <c r="G4" s="4">
        <f t="shared" si="3"/>
        <v>7</v>
      </c>
      <c r="H4" s="4">
        <f t="shared" si="3"/>
        <v>10</v>
      </c>
      <c r="I4" s="4">
        <f t="shared" si="3"/>
        <v>3</v>
      </c>
      <c r="J4" s="4">
        <f t="shared" si="3"/>
        <v>6</v>
      </c>
      <c r="K4" s="4">
        <f t="shared" si="3"/>
        <v>5</v>
      </c>
      <c r="L4" s="4">
        <f t="shared" si="3"/>
        <v>8</v>
      </c>
      <c r="M4" s="4">
        <f t="shared" si="3"/>
        <v>8</v>
      </c>
      <c r="N4" s="4">
        <f t="shared" si="3"/>
        <v>9</v>
      </c>
      <c r="O4" s="4">
        <f t="shared" si="4"/>
        <v>4</v>
      </c>
      <c r="P4" s="4">
        <f t="shared" si="1"/>
        <v>4</v>
      </c>
      <c r="Q4" s="4">
        <f t="shared" si="1"/>
        <v>1</v>
      </c>
      <c r="R4" s="4">
        <f t="shared" si="1"/>
        <v>2</v>
      </c>
      <c r="S4" s="4">
        <f t="shared" si="1"/>
        <v>1</v>
      </c>
      <c r="T4" s="4">
        <f t="shared" si="1"/>
        <v>16</v>
      </c>
      <c r="U4" s="4">
        <f t="shared" si="1"/>
        <v>3</v>
      </c>
      <c r="V4" s="4">
        <f t="shared" si="1"/>
        <v>17</v>
      </c>
      <c r="W4" s="4">
        <f t="shared" si="1"/>
        <v>10</v>
      </c>
      <c r="X4" s="4">
        <f t="shared" si="1"/>
        <v>3</v>
      </c>
      <c r="Y4" s="4">
        <f t="shared" si="1"/>
        <v>7</v>
      </c>
      <c r="Z4" s="4">
        <f t="shared" si="1"/>
        <v>0</v>
      </c>
      <c r="AA4" s="4">
        <f t="shared" ref="AA4:AL5" si="5">C25</f>
        <v>6</v>
      </c>
      <c r="AB4" s="4">
        <f t="shared" si="5"/>
        <v>3</v>
      </c>
      <c r="AC4" s="4">
        <f t="shared" si="5"/>
        <v>7</v>
      </c>
      <c r="AD4" s="4">
        <f t="shared" si="5"/>
        <v>2</v>
      </c>
      <c r="AE4" s="4">
        <f t="shared" si="5"/>
        <v>0</v>
      </c>
      <c r="AF4" s="4">
        <f t="shared" si="5"/>
        <v>0</v>
      </c>
      <c r="AG4" s="4">
        <f t="shared" si="5"/>
        <v>0</v>
      </c>
      <c r="AH4" s="4">
        <f t="shared" si="5"/>
        <v>0</v>
      </c>
      <c r="AI4" s="4">
        <f t="shared" si="5"/>
        <v>0</v>
      </c>
      <c r="AJ4" s="4">
        <f t="shared" si="5"/>
        <v>0</v>
      </c>
      <c r="AK4" s="4">
        <f t="shared" si="5"/>
        <v>0</v>
      </c>
      <c r="AL4" s="4">
        <f t="shared" si="5"/>
        <v>0</v>
      </c>
      <c r="AM4" s="2">
        <f>SUM(C4:AL4)</f>
        <v>183</v>
      </c>
    </row>
    <row r="5" spans="2:39" x14ac:dyDescent="0.15">
      <c r="B5" s="4" t="s">
        <v>0</v>
      </c>
      <c r="C5" s="4">
        <f t="shared" si="3"/>
        <v>240</v>
      </c>
      <c r="D5" s="4">
        <f t="shared" si="3"/>
        <v>131</v>
      </c>
      <c r="E5" s="4">
        <f t="shared" si="3"/>
        <v>149</v>
      </c>
      <c r="F5" s="4">
        <f t="shared" si="3"/>
        <v>163</v>
      </c>
      <c r="G5" s="4">
        <f t="shared" si="3"/>
        <v>67</v>
      </c>
      <c r="H5" s="4">
        <f t="shared" si="3"/>
        <v>88</v>
      </c>
      <c r="I5" s="4">
        <f t="shared" si="3"/>
        <v>71</v>
      </c>
      <c r="J5" s="4">
        <f t="shared" si="3"/>
        <v>95</v>
      </c>
      <c r="K5" s="4">
        <f t="shared" si="3"/>
        <v>62</v>
      </c>
      <c r="L5" s="4">
        <f t="shared" si="3"/>
        <v>88</v>
      </c>
      <c r="M5" s="4">
        <f t="shared" si="3"/>
        <v>148</v>
      </c>
      <c r="N5" s="4">
        <f t="shared" si="3"/>
        <v>131</v>
      </c>
      <c r="O5" s="4">
        <f t="shared" si="4"/>
        <v>90</v>
      </c>
      <c r="P5" s="4">
        <f t="shared" si="1"/>
        <v>108</v>
      </c>
      <c r="Q5" s="4">
        <f t="shared" si="1"/>
        <v>67</v>
      </c>
      <c r="R5" s="4">
        <f t="shared" si="1"/>
        <v>101</v>
      </c>
      <c r="S5" s="4">
        <f t="shared" si="1"/>
        <v>107</v>
      </c>
      <c r="T5" s="4">
        <f t="shared" si="1"/>
        <v>86</v>
      </c>
      <c r="U5" s="4">
        <f t="shared" si="1"/>
        <v>59</v>
      </c>
      <c r="V5" s="4">
        <f t="shared" si="1"/>
        <v>95</v>
      </c>
      <c r="W5" s="4">
        <f t="shared" si="1"/>
        <v>98</v>
      </c>
      <c r="X5" s="4">
        <f t="shared" si="1"/>
        <v>42</v>
      </c>
      <c r="Y5" s="4">
        <f t="shared" si="1"/>
        <v>59</v>
      </c>
      <c r="Z5" s="4">
        <f t="shared" si="1"/>
        <v>62</v>
      </c>
      <c r="AA5" s="4">
        <f t="shared" si="5"/>
        <v>52</v>
      </c>
      <c r="AB5" s="4">
        <f t="shared" si="5"/>
        <v>47</v>
      </c>
      <c r="AC5" s="4">
        <f t="shared" si="5"/>
        <v>65</v>
      </c>
      <c r="AD5" s="4">
        <f t="shared" si="5"/>
        <v>62</v>
      </c>
      <c r="AE5" s="4">
        <f t="shared" si="5"/>
        <v>0</v>
      </c>
      <c r="AF5" s="4">
        <f t="shared" si="5"/>
        <v>0</v>
      </c>
      <c r="AG5" s="4">
        <f t="shared" si="5"/>
        <v>0</v>
      </c>
      <c r="AH5" s="4">
        <f t="shared" si="5"/>
        <v>0</v>
      </c>
      <c r="AI5" s="4">
        <f t="shared" si="5"/>
        <v>0</v>
      </c>
      <c r="AJ5" s="4">
        <f t="shared" si="5"/>
        <v>0</v>
      </c>
      <c r="AK5" s="4">
        <f t="shared" si="5"/>
        <v>0</v>
      </c>
      <c r="AL5" s="4">
        <f t="shared" si="5"/>
        <v>0</v>
      </c>
      <c r="AM5" s="2" t="e">
        <f>SUM(AI11C5:AL5)</f>
        <v>#NAME?</v>
      </c>
    </row>
    <row r="6" spans="2:39" s="8" customFormat="1" ht="12" customHeight="1" x14ac:dyDescent="0.15">
      <c r="E6" s="9"/>
    </row>
    <row r="7" spans="2:39" x14ac:dyDescent="0.15">
      <c r="B7" s="1" t="s">
        <v>17</v>
      </c>
    </row>
    <row r="8" spans="2:39" x14ac:dyDescent="0.15">
      <c r="B8" s="7"/>
      <c r="C8" s="7" t="s">
        <v>23</v>
      </c>
      <c r="D8" s="7" t="s">
        <v>5</v>
      </c>
      <c r="E8" s="7" t="s">
        <v>9</v>
      </c>
      <c r="F8" s="7" t="s">
        <v>10</v>
      </c>
      <c r="G8" s="7" t="s">
        <v>11</v>
      </c>
      <c r="H8" s="7" t="s">
        <v>14</v>
      </c>
      <c r="I8" s="7" t="s">
        <v>15</v>
      </c>
      <c r="J8" s="7" t="s">
        <v>12</v>
      </c>
      <c r="K8" s="7" t="s">
        <v>13</v>
      </c>
      <c r="L8" s="7" t="s">
        <v>8</v>
      </c>
      <c r="M8" s="7" t="s">
        <v>16</v>
      </c>
      <c r="N8" s="7" t="s">
        <v>7</v>
      </c>
      <c r="O8" s="6" t="s">
        <v>4</v>
      </c>
      <c r="AA8" s="5"/>
    </row>
    <row r="9" spans="2:39" x14ac:dyDescent="0.15">
      <c r="B9" s="4" t="s">
        <v>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3"/>
      <c r="O9" s="2">
        <f>SUM(C9:N9)</f>
        <v>0</v>
      </c>
    </row>
    <row r="10" spans="2:39" x14ac:dyDescent="0.15">
      <c r="B10" s="4" t="s">
        <v>2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3"/>
      <c r="O10" s="2">
        <f>SUM(C10:N10)</f>
        <v>0</v>
      </c>
    </row>
    <row r="11" spans="2:39" x14ac:dyDescent="0.15">
      <c r="B11" s="4" t="s">
        <v>1</v>
      </c>
      <c r="C11" s="4">
        <v>10</v>
      </c>
      <c r="D11" s="4">
        <v>10</v>
      </c>
      <c r="E11" s="4">
        <v>12</v>
      </c>
      <c r="F11" s="4">
        <v>9</v>
      </c>
      <c r="G11" s="4">
        <v>7</v>
      </c>
      <c r="H11" s="4">
        <v>10</v>
      </c>
      <c r="I11" s="4">
        <v>3</v>
      </c>
      <c r="J11" s="4">
        <v>6</v>
      </c>
      <c r="K11" s="4">
        <v>5</v>
      </c>
      <c r="L11" s="4">
        <v>8</v>
      </c>
      <c r="M11" s="3">
        <v>8</v>
      </c>
      <c r="N11" s="3">
        <v>9</v>
      </c>
      <c r="O11" s="2">
        <f>SUM(C11:N11)</f>
        <v>97</v>
      </c>
    </row>
    <row r="12" spans="2:39" x14ac:dyDescent="0.15">
      <c r="B12" s="4" t="s">
        <v>0</v>
      </c>
      <c r="C12" s="4">
        <v>240</v>
      </c>
      <c r="D12" s="4">
        <v>131</v>
      </c>
      <c r="E12" s="4">
        <v>149</v>
      </c>
      <c r="F12" s="4">
        <v>163</v>
      </c>
      <c r="G12" s="4">
        <v>67</v>
      </c>
      <c r="H12" s="4">
        <v>88</v>
      </c>
      <c r="I12" s="4">
        <v>71</v>
      </c>
      <c r="J12" s="4">
        <v>95</v>
      </c>
      <c r="K12" s="4">
        <v>62</v>
      </c>
      <c r="L12" s="4">
        <v>88</v>
      </c>
      <c r="M12" s="3">
        <v>148</v>
      </c>
      <c r="N12" s="3">
        <v>131</v>
      </c>
      <c r="O12" s="2">
        <f>SUM(C12:N12)</f>
        <v>1433</v>
      </c>
    </row>
    <row r="14" spans="2:39" x14ac:dyDescent="0.15">
      <c r="B14" s="1" t="s">
        <v>18</v>
      </c>
    </row>
    <row r="15" spans="2:39" x14ac:dyDescent="0.15">
      <c r="B15" s="7"/>
      <c r="C15" s="7" t="s">
        <v>23</v>
      </c>
      <c r="D15" s="7" t="s">
        <v>5</v>
      </c>
      <c r="E15" s="7" t="s">
        <v>9</v>
      </c>
      <c r="F15" s="7" t="s">
        <v>10</v>
      </c>
      <c r="G15" s="7" t="s">
        <v>11</v>
      </c>
      <c r="H15" s="7" t="s">
        <v>14</v>
      </c>
      <c r="I15" s="7" t="s">
        <v>15</v>
      </c>
      <c r="J15" s="7" t="s">
        <v>12</v>
      </c>
      <c r="K15" s="7" t="s">
        <v>13</v>
      </c>
      <c r="L15" s="7" t="s">
        <v>8</v>
      </c>
      <c r="M15" s="7" t="s">
        <v>16</v>
      </c>
      <c r="N15" s="7" t="s">
        <v>7</v>
      </c>
      <c r="O15" s="6" t="s">
        <v>4</v>
      </c>
      <c r="AA15" s="5"/>
    </row>
    <row r="16" spans="2:39" x14ac:dyDescent="0.15">
      <c r="B16" s="4" t="s">
        <v>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  <c r="N16" s="13"/>
      <c r="O16" s="15">
        <f>SUM(C16:N16)+O9</f>
        <v>0</v>
      </c>
    </row>
    <row r="17" spans="2:27" x14ac:dyDescent="0.15">
      <c r="B17" s="4" t="s">
        <v>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13"/>
      <c r="O17" s="15">
        <f t="shared" ref="O17:O18" si="6">SUM(C17:N17)+O10</f>
        <v>0</v>
      </c>
    </row>
    <row r="18" spans="2:27" x14ac:dyDescent="0.15">
      <c r="B18" s="4" t="s">
        <v>1</v>
      </c>
      <c r="C18" s="4">
        <v>4</v>
      </c>
      <c r="D18" s="4">
        <v>4</v>
      </c>
      <c r="E18" s="4">
        <v>1</v>
      </c>
      <c r="F18" s="4">
        <v>2</v>
      </c>
      <c r="G18" s="4">
        <v>1</v>
      </c>
      <c r="H18" s="4">
        <v>16</v>
      </c>
      <c r="I18" s="4">
        <v>3</v>
      </c>
      <c r="J18" s="4">
        <v>17</v>
      </c>
      <c r="K18" s="4">
        <v>10</v>
      </c>
      <c r="L18" s="4">
        <v>3</v>
      </c>
      <c r="M18" s="3">
        <v>7</v>
      </c>
      <c r="N18" s="3">
        <v>0</v>
      </c>
      <c r="O18" s="15">
        <f t="shared" si="6"/>
        <v>165</v>
      </c>
    </row>
    <row r="19" spans="2:27" x14ac:dyDescent="0.15">
      <c r="B19" s="4" t="s">
        <v>0</v>
      </c>
      <c r="C19" s="4">
        <v>90</v>
      </c>
      <c r="D19" s="4">
        <v>108</v>
      </c>
      <c r="E19" s="4">
        <v>67</v>
      </c>
      <c r="F19" s="4">
        <v>101</v>
      </c>
      <c r="G19" s="4">
        <v>107</v>
      </c>
      <c r="H19" s="4">
        <v>86</v>
      </c>
      <c r="I19" s="4">
        <v>59</v>
      </c>
      <c r="J19" s="4">
        <v>95</v>
      </c>
      <c r="K19" s="4">
        <v>98</v>
      </c>
      <c r="L19" s="4">
        <v>42</v>
      </c>
      <c r="M19" s="3">
        <v>59</v>
      </c>
      <c r="N19" s="3">
        <v>62</v>
      </c>
      <c r="O19" s="15">
        <f>SUM(C19:N19)+O12</f>
        <v>2407</v>
      </c>
    </row>
    <row r="20" spans="2:27" x14ac:dyDescent="0.15"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6"/>
    </row>
    <row r="21" spans="2:27" x14ac:dyDescent="0.15">
      <c r="B21" s="1" t="s">
        <v>24</v>
      </c>
      <c r="O21" s="16"/>
    </row>
    <row r="22" spans="2:27" x14ac:dyDescent="0.15">
      <c r="B22" s="7"/>
      <c r="C22" s="7" t="s">
        <v>23</v>
      </c>
      <c r="D22" s="7" t="s">
        <v>5</v>
      </c>
      <c r="E22" s="7" t="s">
        <v>9</v>
      </c>
      <c r="F22" s="7" t="s">
        <v>10</v>
      </c>
      <c r="G22" s="7" t="s">
        <v>11</v>
      </c>
      <c r="H22" s="7" t="s">
        <v>14</v>
      </c>
      <c r="I22" s="7" t="s">
        <v>15</v>
      </c>
      <c r="J22" s="7" t="s">
        <v>12</v>
      </c>
      <c r="K22" s="7" t="s">
        <v>13</v>
      </c>
      <c r="L22" s="7" t="s">
        <v>8</v>
      </c>
      <c r="M22" s="7" t="s">
        <v>16</v>
      </c>
      <c r="N22" s="7" t="s">
        <v>7</v>
      </c>
      <c r="O22" s="17" t="s">
        <v>4</v>
      </c>
      <c r="AA22" s="5"/>
    </row>
    <row r="23" spans="2:27" x14ac:dyDescent="0.15">
      <c r="B23" s="4" t="s">
        <v>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/>
      <c r="N23" s="13"/>
      <c r="O23" s="15">
        <f>SUM(C23:N23)+O17</f>
        <v>0</v>
      </c>
    </row>
    <row r="24" spans="2:27" x14ac:dyDescent="0.15">
      <c r="B24" s="4" t="s">
        <v>26</v>
      </c>
      <c r="C24" s="4">
        <v>435</v>
      </c>
      <c r="D24" s="4">
        <v>611</v>
      </c>
      <c r="E24" s="4">
        <v>365</v>
      </c>
      <c r="F24" s="4">
        <v>258</v>
      </c>
      <c r="G24" s="4"/>
      <c r="H24" s="4"/>
      <c r="I24" s="4"/>
      <c r="J24" s="4"/>
      <c r="K24" s="4"/>
      <c r="L24" s="4"/>
      <c r="M24" s="3"/>
      <c r="N24" s="14"/>
      <c r="O24" s="15">
        <f>SUM(C24:N24)</f>
        <v>1669</v>
      </c>
    </row>
    <row r="25" spans="2:27" x14ac:dyDescent="0.15">
      <c r="B25" s="4" t="s">
        <v>1</v>
      </c>
      <c r="C25" s="4">
        <v>6</v>
      </c>
      <c r="D25" s="4">
        <v>3</v>
      </c>
      <c r="E25" s="4">
        <v>7</v>
      </c>
      <c r="F25" s="4">
        <v>2</v>
      </c>
      <c r="G25" s="4"/>
      <c r="H25" s="4"/>
      <c r="I25" s="4"/>
      <c r="J25" s="4"/>
      <c r="K25" s="4"/>
      <c r="L25" s="4"/>
      <c r="M25" s="3"/>
      <c r="N25" s="3"/>
      <c r="O25" s="15">
        <f>O24+O18</f>
        <v>1834</v>
      </c>
    </row>
    <row r="26" spans="2:27" x14ac:dyDescent="0.15">
      <c r="B26" s="4" t="s">
        <v>0</v>
      </c>
      <c r="C26" s="4">
        <v>52</v>
      </c>
      <c r="D26" s="4">
        <v>47</v>
      </c>
      <c r="E26" s="4">
        <v>65</v>
      </c>
      <c r="F26" s="4">
        <v>62</v>
      </c>
      <c r="G26" s="4"/>
      <c r="H26" s="4"/>
      <c r="I26" s="4"/>
      <c r="J26" s="4"/>
      <c r="K26" s="4"/>
      <c r="L26" s="4"/>
      <c r="M26" s="3"/>
      <c r="N26" s="3"/>
      <c r="O26" s="15">
        <f>SUM(C26:N26)+O19</f>
        <v>2633</v>
      </c>
    </row>
    <row r="27" spans="2:27" x14ac:dyDescent="0.15">
      <c r="C27" s="10"/>
      <c r="F27" s="10" t="s">
        <v>27</v>
      </c>
      <c r="G27" s="10"/>
      <c r="H27" s="10"/>
      <c r="I27" s="10"/>
      <c r="J27" s="10"/>
      <c r="K27" s="10"/>
      <c r="L27" s="10"/>
      <c r="M27" s="10"/>
      <c r="N27" s="10"/>
    </row>
  </sheetData>
  <phoneticPr fontId="2"/>
  <printOptions horizontalCentered="1" verticalCentered="1"/>
  <pageMargins left="0.19685039370078741" right="0.11811023622047245" top="0.35433070866141736" bottom="0.15748031496062992" header="0.31496062992125984" footer="0.11811023622047245"/>
  <pageSetup paperSize="9" scale="40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どんぶり市場 新世界</vt:lpstr>
      <vt:lpstr>どんぷり市場 新世界 (2)</vt:lpstr>
      <vt:lpstr>'どんぶり市場 新世界'!Print_Area</vt:lpstr>
      <vt:lpstr>'どんぷり市場 新世界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2026-03-26T04:18:13Z</cp:lastPrinted>
  <dcterms:created xsi:type="dcterms:W3CDTF">2018-10-31T01:38:43Z</dcterms:created>
  <dcterms:modified xsi:type="dcterms:W3CDTF">2026-04-27T01:40:44Z</dcterms:modified>
</cp:coreProperties>
</file>