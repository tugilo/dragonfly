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すぱざわ" sheetId="1" r:id="rId1"/>
    <sheet name="すぱざわ (2)" sheetId="2" r:id="rId2"/>
  </sheets>
  <definedNames>
    <definedName name="_xlnm.Print_Area" localSheetId="0">すぱざわ!$B$9:$O$26</definedName>
    <definedName name="_xlnm.Print_Area" localSheetId="1">'すぱざわ (2)'!$A$7:$P$53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" i="1" l="1"/>
  <c r="O25" i="1"/>
  <c r="O24" i="1"/>
  <c r="O23" i="1"/>
  <c r="O22" i="1"/>
  <c r="O21" i="1"/>
  <c r="C3" i="1" l="1"/>
  <c r="D3" i="1"/>
  <c r="C4" i="1"/>
  <c r="D4" i="1"/>
  <c r="C5" i="1"/>
  <c r="D5" i="1"/>
  <c r="C6" i="1"/>
  <c r="D6" i="1"/>
  <c r="C7" i="1"/>
  <c r="D7" i="1"/>
  <c r="O4" i="1"/>
  <c r="O15" i="1"/>
  <c r="O13" i="2"/>
  <c r="O12" i="2"/>
  <c r="O11" i="2"/>
  <c r="O10" i="2"/>
  <c r="O9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E4" i="2"/>
  <c r="D4" i="2"/>
  <c r="C4" i="2"/>
  <c r="O4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N2" i="2"/>
  <c r="M2" i="2"/>
  <c r="L2" i="2"/>
  <c r="K2" i="2"/>
  <c r="J2" i="2"/>
  <c r="I2" i="2"/>
  <c r="H2" i="2"/>
  <c r="G2" i="2"/>
  <c r="F2" i="2"/>
  <c r="E2" i="2"/>
  <c r="D2" i="2"/>
  <c r="C2" i="2"/>
  <c r="O2" i="2" s="1"/>
  <c r="O13" i="1"/>
  <c r="O6" i="1" l="1"/>
  <c r="D2" i="1"/>
  <c r="E2" i="1"/>
  <c r="F2" i="1"/>
  <c r="G2" i="1"/>
  <c r="H2" i="1"/>
  <c r="I2" i="1"/>
  <c r="J2" i="1"/>
  <c r="K2" i="1"/>
  <c r="L2" i="1"/>
  <c r="M2" i="1"/>
  <c r="N2" i="1"/>
  <c r="E3" i="1"/>
  <c r="F3" i="1"/>
  <c r="G3" i="1"/>
  <c r="H3" i="1"/>
  <c r="I3" i="1"/>
  <c r="J3" i="1"/>
  <c r="K3" i="1"/>
  <c r="L3" i="1"/>
  <c r="M3" i="1"/>
  <c r="N3" i="1"/>
  <c r="E5" i="1"/>
  <c r="F5" i="1"/>
  <c r="G5" i="1"/>
  <c r="H5" i="1"/>
  <c r="I5" i="1"/>
  <c r="J5" i="1"/>
  <c r="K5" i="1"/>
  <c r="L5" i="1"/>
  <c r="M5" i="1"/>
  <c r="N5" i="1"/>
  <c r="E7" i="1"/>
  <c r="F7" i="1"/>
  <c r="G7" i="1"/>
  <c r="H7" i="1"/>
  <c r="I7" i="1"/>
  <c r="J7" i="1"/>
  <c r="K7" i="1"/>
  <c r="L7" i="1"/>
  <c r="M7" i="1"/>
  <c r="N7" i="1"/>
  <c r="C2" i="1"/>
  <c r="O2" i="1" l="1"/>
  <c r="O7" i="1"/>
  <c r="O5" i="1"/>
  <c r="O3" i="1"/>
  <c r="O16" i="1"/>
  <c r="O14" i="1"/>
  <c r="O12" i="1"/>
  <c r="O11" i="1"/>
</calcChain>
</file>

<file path=xl/sharedStrings.xml><?xml version="1.0" encoding="utf-8"?>
<sst xmlns="http://schemas.openxmlformats.org/spreadsheetml/2006/main" count="97" uniqueCount="25">
  <si>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</si>
  <si>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</si>
  <si>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</si>
  <si>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</si>
  <si>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</si>
  <si>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</si>
  <si>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</si>
  <si>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</si>
  <si>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</si>
  <si>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7月</t>
  </si>
  <si>
    <t>11月</t>
  </si>
  <si>
    <t>8月</t>
  </si>
  <si>
    <t>9月</t>
  </si>
  <si>
    <t>1月</t>
  </si>
  <si>
    <t>6月</t>
  </si>
  <si>
    <t>2024/1月</t>
    <phoneticPr fontId="2"/>
  </si>
  <si>
    <t>スタンプクーポン</t>
    <phoneticPr fontId="2"/>
  </si>
  <si>
    <t>2024年5月～2024年4月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</si>
  <si>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5月</t>
    <phoneticPr fontId="2"/>
  </si>
  <si>
    <t>10月</t>
  </si>
  <si>
    <t>2024/5月</t>
    <phoneticPr fontId="2"/>
  </si>
  <si>
    <t>5/26~6/25</t>
    <phoneticPr fontId="2"/>
  </si>
  <si>
    <t>閲覧数</t>
    <rPh sb="0" eb="2">
      <t>エツラン</t>
    </rPh>
    <rPh sb="2" eb="3">
      <t>スウ</t>
    </rPh>
    <phoneticPr fontId="2"/>
  </si>
  <si>
    <t>2025年5月～2026年4月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</si>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</sst>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38" fontId="1" fillId="0" borderId="1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'すぱざわ (2)'!$B$7</c:f>
              <c:strCache>
                <c:ptCount val="1"/>
                <c:pt idx="0">
                  <c:v>2024年5月～2024年4月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'すぱざわ (2)'!$C$8:$N$8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'すぱざわ (2)'!$C$9:$N$9</c:f>
              <c:numCache>
                <c:formatCode>General</c:formatCode>
                <c:ptCount val="12"/>
                <c:pt idx="0">
                  <c:v>37</c:v>
                </c:pt>
                <c:pt idx="1">
                  <c:v>170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9A-43AE-A230-1C8816C3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58568"/>
        <c:axId val="472757000"/>
        <c:extLst xmlns:c16r2="http://schemas.microsoft.com/office/drawing/2015/06/chart"/>
      </c:barChart>
      <c:catAx>
        <c:axId val="47275856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7000"/>
        <c:crosses val="autoZero"/>
        <c:auto val="1"/>
        <c:lblAlgn val="ctr"/>
        <c:lblOffset val="100"/>
        <c:noMultiLvlLbl val="0"/>
      </c:catAx>
      <c:valAx>
        <c:axId val="4727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3690682241559642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'すぱざわ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'すぱざわ (2)'!$C$1:$N$1</c:f>
              <c:strCache>
                <c:ptCount val="12"/>
                <c:pt idx="0">
                  <c:v>2024/5月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2024/1月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'すぱざわ (2)'!$C$5:$N$5</c:f>
              <c:numCache>
                <c:formatCode>General</c:formatCode>
                <c:ptCount val="12"/>
                <c:pt idx="0">
                  <c:v>233</c:v>
                </c:pt>
                <c:pt idx="1">
                  <c:v>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62-4290-811C-BC68B2D0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58960"/>
        <c:axId val="472759352"/>
        <c:extLst xmlns:c16r2="http://schemas.microsoft.com/office/drawing/2015/06/chart"/>
      </c:barChart>
      <c:catAx>
        <c:axId val="47275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9352"/>
        <c:crosses val="autoZero"/>
        <c:auto val="1"/>
        <c:lblAlgn val="ctr"/>
        <c:lblOffset val="100"/>
        <c:noMultiLvlLbl val="0"/>
      </c:catAx>
      <c:valAx>
        <c:axId val="47275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'すぱざわ (2)'!$B$7</c:f>
              <c:strCache>
                <c:ptCount val="1"/>
                <c:pt idx="0">
                  <c:v>2024年5月～2024年4月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'すぱざわ (2)'!$C$8:$N$8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'すぱざわ (2)'!$C$10:$N$10</c:f>
              <c:numCache>
                <c:formatCode>General</c:formatCode>
                <c:ptCount val="12"/>
                <c:pt idx="0">
                  <c:v>30</c:v>
                </c:pt>
                <c:pt idx="1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06-4EFF-B6F9-EF2554C07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53864"/>
        <c:axId val="472759744"/>
        <c:extLst xmlns:c16r2="http://schemas.microsoft.com/office/drawing/2015/06/chart"/>
      </c:barChart>
      <c:catAx>
        <c:axId val="47275386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9744"/>
        <c:crosses val="autoZero"/>
        <c:auto val="1"/>
        <c:lblAlgn val="ctr"/>
        <c:lblOffset val="100"/>
        <c:noMultiLvlLbl val="0"/>
      </c:catAx>
      <c:valAx>
        <c:axId val="4727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45204702597775"/>
          <c:y val="4.8113522192102305E-2"/>
          <c:w val="0.246614900284278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'すぱざわ (2)'!$B$7</c:f>
              <c:strCache>
                <c:ptCount val="1"/>
                <c:pt idx="0">
                  <c:v>2024年5月～2024年4月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'すぱざわ (2)'!$C$8:$N$8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'すぱざわ (2)'!$C$11:$N$11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74-4270-87CA-C7E1928F1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5592"/>
        <c:axId val="472539120"/>
        <c:extLst xmlns:c16r2="http://schemas.microsoft.com/office/drawing/2015/06/chart"/>
      </c:barChart>
      <c:catAx>
        <c:axId val="47253559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9120"/>
        <c:crosses val="autoZero"/>
        <c:auto val="1"/>
        <c:lblAlgn val="ctr"/>
        <c:lblOffset val="100"/>
        <c:noMultiLvlLbl val="0"/>
      </c:catAx>
      <c:valAx>
        <c:axId val="4725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15</xdr:row>
      <xdr:rowOff>38099</xdr:rowOff>
    </xdr:from>
    <xdr:to>
      <xdr:col>7</xdr:col>
      <xdr:colOff>895351</xdr:colOff>
      <xdr:row>32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559EE69B-3F26-4611-B61E-A7DBF801C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142874</xdr:colOff>
      <xdr:row>32</xdr:row>
      <xdr:rowOff>190500</xdr:rowOff>
    </xdr:from>
    <xdr:to>
      <xdr:col>15</xdr:col>
      <xdr:colOff>619125</xdr:colOff>
      <xdr:row>51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70963F98-2222-4778-90C9-319C69A74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15</xdr:row>
      <xdr:rowOff>38100</xdr:rowOff>
    </xdr:from>
    <xdr:to>
      <xdr:col>15</xdr:col>
      <xdr:colOff>609601</xdr:colOff>
      <xdr:row>32</xdr:row>
      <xdr:rowOff>104775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F46884FF-2F66-4A93-9E30-E53F685B0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32</xdr:row>
      <xdr:rowOff>190500</xdr:rowOff>
    </xdr:from>
    <xdr:to>
      <xdr:col>7</xdr:col>
      <xdr:colOff>895351</xdr:colOff>
      <xdr:row>51</xdr:row>
      <xdr:rowOff>180975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58C2D8D4-C960-4B29-82B3-9866BD53E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6"/>
  <sheetViews>
    <sheetView tabSelected="1" topLeftCell="A7" zoomScaleNormal="100" workbookViewId="0">
      <selection activeCell="N26" sqref="N26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20</v>
      </c>
      <c r="D1" s="7" t="s">
        <v>14</v>
      </c>
      <c r="E1" s="7" t="s">
        <v>9</v>
      </c>
      <c r="F1" s="7" t="s">
        <v>11</v>
      </c>
      <c r="G1" s="7" t="s">
        <v>12</v>
      </c>
      <c r="H1" s="7" t="s">
        <v>19</v>
      </c>
      <c r="I1" s="7" t="s">
        <v>10</v>
      </c>
      <c r="J1" s="7" t="s">
        <v>8</v>
      </c>
      <c r="K1" s="7" t="s">
        <v>15</v>
      </c>
      <c r="L1" s="7" t="s">
        <v>7</v>
      </c>
      <c r="M1" s="7" t="s">
        <v>6</v>
      </c>
      <c r="N1" s="7" t="s">
        <v>5</v>
      </c>
      <c r="O1" s="6" t="s">
        <v>4</v>
      </c>
    </row>
    <row r="2" spans="2:15" x14ac:dyDescent="0.15">
      <c r="B2" s="4" t="s">
        <v>3</v>
      </c>
      <c r="C2" s="4">
        <f>C11</f>
        <v>37</v>
      </c>
      <c r="D2" s="4">
        <f t="shared" ref="D2:N2" si="0">D11</f>
        <v>170</v>
      </c>
      <c r="E2" s="4">
        <f t="shared" si="0"/>
        <v>172</v>
      </c>
      <c r="F2" s="4">
        <f t="shared" si="0"/>
        <v>212</v>
      </c>
      <c r="G2" s="4">
        <f t="shared" si="0"/>
        <v>176</v>
      </c>
      <c r="H2" s="4">
        <f t="shared" si="0"/>
        <v>177</v>
      </c>
      <c r="I2" s="4">
        <f t="shared" si="0"/>
        <v>193</v>
      </c>
      <c r="J2" s="4">
        <f t="shared" si="0"/>
        <v>151</v>
      </c>
      <c r="K2" s="4">
        <f t="shared" si="0"/>
        <v>171</v>
      </c>
      <c r="L2" s="4">
        <f t="shared" si="0"/>
        <v>197</v>
      </c>
      <c r="M2" s="4">
        <f t="shared" si="0"/>
        <v>185</v>
      </c>
      <c r="N2" s="4">
        <f t="shared" si="0"/>
        <v>166</v>
      </c>
      <c r="O2" s="2">
        <f>SUM(C2:N2)</f>
        <v>2007</v>
      </c>
    </row>
    <row r="3" spans="2:15" x14ac:dyDescent="0.15">
      <c r="B3" s="4" t="s">
        <v>2</v>
      </c>
      <c r="C3" s="4">
        <f t="shared" ref="C3:D3" si="1">C12</f>
        <v>30</v>
      </c>
      <c r="D3" s="4">
        <f t="shared" si="1"/>
        <v>101</v>
      </c>
      <c r="E3" s="4">
        <f t="shared" ref="E3:N3" si="2">E12</f>
        <v>75</v>
      </c>
      <c r="F3" s="4">
        <f t="shared" si="2"/>
        <v>100</v>
      </c>
      <c r="G3" s="4">
        <f t="shared" si="2"/>
        <v>76</v>
      </c>
      <c r="H3" s="4">
        <f t="shared" si="2"/>
        <v>77</v>
      </c>
      <c r="I3" s="4">
        <f t="shared" si="2"/>
        <v>71</v>
      </c>
      <c r="J3" s="4">
        <f t="shared" si="2"/>
        <v>52</v>
      </c>
      <c r="K3" s="4">
        <f t="shared" si="2"/>
        <v>70</v>
      </c>
      <c r="L3" s="4">
        <f t="shared" si="2"/>
        <v>76</v>
      </c>
      <c r="M3" s="4">
        <f t="shared" si="2"/>
        <v>42</v>
      </c>
      <c r="N3" s="4">
        <f t="shared" si="2"/>
        <v>53</v>
      </c>
      <c r="O3" s="2">
        <f t="shared" ref="O3:O7" si="3">SUM(C3:N3)</f>
        <v>823</v>
      </c>
    </row>
    <row r="4" spans="2:15" ht="24" customHeight="1" x14ac:dyDescent="0.15">
      <c r="B4" s="4" t="s">
        <v>16</v>
      </c>
      <c r="C4" s="4">
        <f t="shared" ref="C4:D4" si="4">C13</f>
        <v>2</v>
      </c>
      <c r="D4" s="4">
        <f t="shared" si="4"/>
        <v>6</v>
      </c>
      <c r="E4" s="4"/>
      <c r="F4" s="4"/>
      <c r="G4" s="4"/>
      <c r="H4" s="4"/>
      <c r="I4" s="4"/>
      <c r="J4" s="4"/>
      <c r="K4" s="4"/>
      <c r="L4" s="4"/>
      <c r="M4" s="3"/>
      <c r="N4" s="11"/>
      <c r="O4" s="2">
        <f>SUM(C4:N4)</f>
        <v>8</v>
      </c>
    </row>
    <row r="5" spans="2:15" x14ac:dyDescent="0.15">
      <c r="B5" s="4" t="s">
        <v>1</v>
      </c>
      <c r="C5" s="4">
        <f t="shared" ref="C5:D5" si="5">C14</f>
        <v>26</v>
      </c>
      <c r="D5" s="4">
        <f t="shared" si="5"/>
        <v>18</v>
      </c>
      <c r="E5" s="4">
        <f t="shared" ref="E5:N5" si="6">E14</f>
        <v>24</v>
      </c>
      <c r="F5" s="4">
        <f t="shared" si="6"/>
        <v>18</v>
      </c>
      <c r="G5" s="4">
        <f t="shared" si="6"/>
        <v>15</v>
      </c>
      <c r="H5" s="4">
        <f t="shared" si="6"/>
        <v>23</v>
      </c>
      <c r="I5" s="4">
        <f t="shared" si="6"/>
        <v>18</v>
      </c>
      <c r="J5" s="4">
        <f t="shared" si="6"/>
        <v>3</v>
      </c>
      <c r="K5" s="4">
        <f t="shared" si="6"/>
        <v>15</v>
      </c>
      <c r="L5" s="4">
        <f t="shared" si="6"/>
        <v>7</v>
      </c>
      <c r="M5" s="4">
        <f t="shared" si="6"/>
        <v>13</v>
      </c>
      <c r="N5" s="4">
        <f t="shared" si="6"/>
        <v>3</v>
      </c>
      <c r="O5" s="2">
        <f t="shared" si="3"/>
        <v>183</v>
      </c>
    </row>
    <row r="6" spans="2:15" ht="24" customHeight="1" x14ac:dyDescent="0.15">
      <c r="B6" s="4" t="s">
        <v>22</v>
      </c>
      <c r="C6" s="4">
        <f t="shared" ref="C6:D6" si="7">C15</f>
        <v>241</v>
      </c>
      <c r="D6" s="4">
        <f t="shared" si="7"/>
        <v>540</v>
      </c>
      <c r="E6" s="4"/>
      <c r="F6" s="4"/>
      <c r="G6" s="4"/>
      <c r="H6" s="4"/>
      <c r="I6" s="4"/>
      <c r="J6" s="4"/>
      <c r="K6" s="4"/>
      <c r="L6" s="4"/>
      <c r="M6" s="3"/>
      <c r="N6" s="3"/>
      <c r="O6" s="2">
        <f>SUM(C6:N6)</f>
        <v>781</v>
      </c>
    </row>
    <row r="7" spans="2:15" x14ac:dyDescent="0.15">
      <c r="B7" s="4" t="s">
        <v>0</v>
      </c>
      <c r="C7" s="4">
        <f t="shared" ref="C7:D7" si="8">C16</f>
        <v>233</v>
      </c>
      <c r="D7" s="4">
        <f t="shared" si="8"/>
        <v>221</v>
      </c>
      <c r="E7" s="4">
        <f t="shared" ref="E7:N7" si="9">E16</f>
        <v>142</v>
      </c>
      <c r="F7" s="4">
        <f t="shared" si="9"/>
        <v>168</v>
      </c>
      <c r="G7" s="4">
        <f t="shared" si="9"/>
        <v>149</v>
      </c>
      <c r="H7" s="4">
        <f t="shared" si="9"/>
        <v>144</v>
      </c>
      <c r="I7" s="4">
        <f t="shared" si="9"/>
        <v>113</v>
      </c>
      <c r="J7" s="4">
        <f t="shared" si="9"/>
        <v>82</v>
      </c>
      <c r="K7" s="4">
        <f t="shared" si="9"/>
        <v>95</v>
      </c>
      <c r="L7" s="4">
        <f t="shared" si="9"/>
        <v>110</v>
      </c>
      <c r="M7" s="4">
        <f t="shared" si="9"/>
        <v>78</v>
      </c>
      <c r="N7" s="4">
        <f t="shared" si="9"/>
        <v>93</v>
      </c>
      <c r="O7" s="2">
        <f t="shared" si="3"/>
        <v>1628</v>
      </c>
    </row>
    <row r="8" spans="2:15" s="8" customFormat="1" ht="12" customHeight="1" x14ac:dyDescent="0.15">
      <c r="E8" s="9"/>
    </row>
    <row r="9" spans="2:15" ht="24" customHeight="1" x14ac:dyDescent="0.15">
      <c r="B9" s="1" t="s">
        <v>17</v>
      </c>
    </row>
    <row r="10" spans="2:15" ht="24" customHeight="1" x14ac:dyDescent="0.15">
      <c r="B10" s="7"/>
      <c r="C10" s="7" t="s">
        <v>18</v>
      </c>
      <c r="D10" s="7" t="s">
        <v>14</v>
      </c>
      <c r="E10" s="7" t="s">
        <v>9</v>
      </c>
      <c r="F10" s="7" t="s">
        <v>11</v>
      </c>
      <c r="G10" s="7" t="s">
        <v>12</v>
      </c>
      <c r="H10" s="7" t="s">
        <v>19</v>
      </c>
      <c r="I10" s="7" t="s">
        <v>10</v>
      </c>
      <c r="J10" s="7" t="s">
        <v>8</v>
      </c>
      <c r="K10" s="7" t="s">
        <v>13</v>
      </c>
      <c r="L10" s="7" t="s">
        <v>7</v>
      </c>
      <c r="M10" s="7" t="s">
        <v>6</v>
      </c>
      <c r="N10" s="7" t="s">
        <v>5</v>
      </c>
      <c r="O10" s="6" t="s">
        <v>4</v>
      </c>
    </row>
    <row r="11" spans="2:15" ht="24" customHeight="1" x14ac:dyDescent="0.15">
      <c r="B11" s="4" t="s">
        <v>3</v>
      </c>
      <c r="C11" s="4">
        <v>37</v>
      </c>
      <c r="D11" s="4">
        <v>170</v>
      </c>
      <c r="E11" s="4">
        <v>172</v>
      </c>
      <c r="F11" s="4">
        <v>212</v>
      </c>
      <c r="G11" s="4">
        <v>176</v>
      </c>
      <c r="H11" s="4">
        <v>177</v>
      </c>
      <c r="I11" s="4">
        <v>193</v>
      </c>
      <c r="J11" s="4">
        <v>151</v>
      </c>
      <c r="K11" s="4">
        <v>171</v>
      </c>
      <c r="L11" s="4">
        <v>197</v>
      </c>
      <c r="M11" s="3">
        <v>185</v>
      </c>
      <c r="N11" s="11">
        <v>166</v>
      </c>
      <c r="O11" s="12">
        <f t="shared" ref="O11:O16" si="10">SUM(C11:N11)</f>
        <v>2007</v>
      </c>
    </row>
    <row r="12" spans="2:15" ht="24" customHeight="1" x14ac:dyDescent="0.15">
      <c r="B12" s="4" t="s">
        <v>2</v>
      </c>
      <c r="C12" s="4">
        <v>30</v>
      </c>
      <c r="D12" s="4">
        <v>101</v>
      </c>
      <c r="E12" s="4">
        <v>75</v>
      </c>
      <c r="F12" s="4">
        <v>100</v>
      </c>
      <c r="G12" s="4">
        <v>76</v>
      </c>
      <c r="H12" s="4">
        <v>77</v>
      </c>
      <c r="I12" s="4">
        <v>71</v>
      </c>
      <c r="J12" s="4">
        <v>52</v>
      </c>
      <c r="K12" s="4">
        <v>70</v>
      </c>
      <c r="L12" s="4">
        <v>76</v>
      </c>
      <c r="M12" s="3">
        <v>42</v>
      </c>
      <c r="N12" s="11">
        <v>53</v>
      </c>
      <c r="O12" s="12">
        <f t="shared" si="10"/>
        <v>823</v>
      </c>
    </row>
    <row r="13" spans="2:15" ht="24" customHeight="1" x14ac:dyDescent="0.15">
      <c r="B13" s="4" t="s">
        <v>16</v>
      </c>
      <c r="C13" s="4">
        <v>2</v>
      </c>
      <c r="D13" s="4">
        <v>6</v>
      </c>
      <c r="E13" s="4">
        <v>6</v>
      </c>
      <c r="F13" s="4">
        <v>9</v>
      </c>
      <c r="G13" s="4">
        <v>6</v>
      </c>
      <c r="H13" s="4">
        <v>15</v>
      </c>
      <c r="I13" s="4">
        <v>18</v>
      </c>
      <c r="J13" s="4">
        <v>15</v>
      </c>
      <c r="K13" s="4">
        <v>9</v>
      </c>
      <c r="L13" s="4">
        <v>14</v>
      </c>
      <c r="M13" s="3">
        <v>27</v>
      </c>
      <c r="N13" s="11">
        <v>13</v>
      </c>
      <c r="O13" s="12">
        <f t="shared" si="10"/>
        <v>140</v>
      </c>
    </row>
    <row r="14" spans="2:15" ht="24" customHeight="1" x14ac:dyDescent="0.15">
      <c r="B14" s="4" t="s">
        <v>1</v>
      </c>
      <c r="C14" s="4">
        <v>26</v>
      </c>
      <c r="D14" s="4">
        <v>18</v>
      </c>
      <c r="E14" s="4">
        <v>24</v>
      </c>
      <c r="F14" s="4">
        <v>18</v>
      </c>
      <c r="G14" s="4">
        <v>15</v>
      </c>
      <c r="H14" s="4">
        <v>23</v>
      </c>
      <c r="I14" s="4">
        <v>18</v>
      </c>
      <c r="J14" s="4">
        <v>3</v>
      </c>
      <c r="K14" s="4">
        <v>15</v>
      </c>
      <c r="L14" s="4">
        <v>7</v>
      </c>
      <c r="M14" s="3">
        <v>13</v>
      </c>
      <c r="N14" s="3">
        <v>3</v>
      </c>
      <c r="O14" s="12">
        <f t="shared" si="10"/>
        <v>183</v>
      </c>
    </row>
    <row r="15" spans="2:15" ht="24" customHeight="1" x14ac:dyDescent="0.15">
      <c r="B15" s="4" t="s">
        <v>22</v>
      </c>
      <c r="C15" s="4">
        <v>241</v>
      </c>
      <c r="D15" s="4">
        <v>540</v>
      </c>
      <c r="E15" s="4">
        <v>619</v>
      </c>
      <c r="F15" s="4">
        <v>607</v>
      </c>
      <c r="G15" s="4">
        <v>557</v>
      </c>
      <c r="H15" s="4">
        <v>669</v>
      </c>
      <c r="I15" s="4">
        <v>654</v>
      </c>
      <c r="J15" s="4">
        <v>566</v>
      </c>
      <c r="K15" s="4">
        <v>667</v>
      </c>
      <c r="L15" s="4">
        <v>627</v>
      </c>
      <c r="M15" s="3">
        <v>573</v>
      </c>
      <c r="N15" s="3">
        <v>499</v>
      </c>
      <c r="O15" s="12">
        <f t="shared" si="10"/>
        <v>6819</v>
      </c>
    </row>
    <row r="16" spans="2:15" ht="24" customHeight="1" x14ac:dyDescent="0.15">
      <c r="B16" s="4" t="s">
        <v>0</v>
      </c>
      <c r="C16" s="4">
        <v>233</v>
      </c>
      <c r="D16" s="4">
        <v>221</v>
      </c>
      <c r="E16" s="4">
        <v>142</v>
      </c>
      <c r="F16" s="4">
        <v>168</v>
      </c>
      <c r="G16" s="4">
        <v>149</v>
      </c>
      <c r="H16" s="4">
        <v>144</v>
      </c>
      <c r="I16" s="4">
        <v>113</v>
      </c>
      <c r="J16" s="4">
        <v>82</v>
      </c>
      <c r="K16" s="4">
        <v>95</v>
      </c>
      <c r="L16" s="4">
        <v>110</v>
      </c>
      <c r="M16" s="3">
        <v>78</v>
      </c>
      <c r="N16" s="3">
        <v>93</v>
      </c>
      <c r="O16" s="12">
        <f t="shared" si="10"/>
        <v>1628</v>
      </c>
    </row>
    <row r="17" spans="2:15" ht="18.75" customHeight="1" x14ac:dyDescent="0.15">
      <c r="E17" s="10"/>
      <c r="F17" s="10"/>
      <c r="G17" s="10"/>
      <c r="H17" s="10"/>
      <c r="K17" s="10"/>
      <c r="L17" s="10"/>
      <c r="M17" s="10"/>
      <c r="N17" s="10"/>
    </row>
    <row r="18" spans="2:15" ht="24" customHeight="1" x14ac:dyDescent="0.15">
      <c r="B18" s="1" t="s">
        <v>23</v>
      </c>
    </row>
    <row r="19" spans="2:15" ht="24" customHeight="1" x14ac:dyDescent="0.15">
      <c r="B19" s="7"/>
      <c r="C19" s="7" t="s">
        <v>18</v>
      </c>
      <c r="D19" s="7" t="s">
        <v>14</v>
      </c>
      <c r="E19" s="7" t="s">
        <v>9</v>
      </c>
      <c r="F19" s="7" t="s">
        <v>11</v>
      </c>
      <c r="G19" s="7" t="s">
        <v>12</v>
      </c>
      <c r="H19" s="7" t="s">
        <v>19</v>
      </c>
      <c r="I19" s="7" t="s">
        <v>10</v>
      </c>
      <c r="J19" s="7" t="s">
        <v>8</v>
      </c>
      <c r="K19" s="7" t="s">
        <v>13</v>
      </c>
      <c r="L19" s="7" t="s">
        <v>7</v>
      </c>
      <c r="M19" s="7" t="s">
        <v>6</v>
      </c>
      <c r="N19" s="7" t="s">
        <v>5</v>
      </c>
      <c r="O19" s="6" t="s">
        <v>4</v>
      </c>
    </row>
    <row r="20" spans="2:15" ht="24" customHeight="1" x14ac:dyDescent="0.15">
      <c r="B20" s="4" t="s">
        <v>3</v>
      </c>
      <c r="C20" s="4">
        <v>191</v>
      </c>
      <c r="D20" s="4">
        <v>161</v>
      </c>
      <c r="E20" s="4">
        <v>157</v>
      </c>
      <c r="F20" s="4">
        <v>178</v>
      </c>
      <c r="G20" s="4">
        <v>163</v>
      </c>
      <c r="H20" s="4">
        <v>146</v>
      </c>
      <c r="I20" s="4">
        <v>168</v>
      </c>
      <c r="J20" s="4">
        <v>130</v>
      </c>
      <c r="K20" s="4">
        <v>131</v>
      </c>
      <c r="L20" s="4">
        <v>141</v>
      </c>
      <c r="M20" s="3">
        <v>133</v>
      </c>
      <c r="N20" s="11">
        <v>144</v>
      </c>
      <c r="O20" s="12">
        <f>SUM(C20:N20)</f>
        <v>1843</v>
      </c>
    </row>
    <row r="21" spans="2:15" ht="24" customHeight="1" x14ac:dyDescent="0.15">
      <c r="B21" s="4" t="s">
        <v>2</v>
      </c>
      <c r="C21" s="4">
        <v>44</v>
      </c>
      <c r="D21" s="4">
        <v>26</v>
      </c>
      <c r="E21" s="4">
        <v>23</v>
      </c>
      <c r="F21" s="4">
        <v>21</v>
      </c>
      <c r="G21" s="4">
        <v>32</v>
      </c>
      <c r="H21" s="4">
        <v>19</v>
      </c>
      <c r="I21" s="4">
        <v>15</v>
      </c>
      <c r="J21" s="4">
        <v>4</v>
      </c>
      <c r="K21" s="4">
        <v>9</v>
      </c>
      <c r="L21" s="4">
        <v>14</v>
      </c>
      <c r="M21" s="3">
        <v>20</v>
      </c>
      <c r="N21" s="11">
        <v>11</v>
      </c>
      <c r="O21" s="12">
        <f t="shared" ref="O21:O24" si="11">SUM(C21:N21)</f>
        <v>238</v>
      </c>
    </row>
    <row r="22" spans="2:15" ht="24" customHeight="1" x14ac:dyDescent="0.15">
      <c r="B22" s="4" t="s">
        <v>16</v>
      </c>
      <c r="C22" s="4">
        <v>21</v>
      </c>
      <c r="D22" s="4">
        <v>15</v>
      </c>
      <c r="E22" s="4">
        <v>17</v>
      </c>
      <c r="F22" s="4">
        <v>23</v>
      </c>
      <c r="G22" s="4">
        <v>28</v>
      </c>
      <c r="H22" s="4">
        <v>17</v>
      </c>
      <c r="I22" s="4">
        <v>22</v>
      </c>
      <c r="J22" s="4">
        <v>16</v>
      </c>
      <c r="K22" s="4">
        <v>11</v>
      </c>
      <c r="L22" s="4">
        <v>21</v>
      </c>
      <c r="M22" s="3">
        <v>26</v>
      </c>
      <c r="N22" s="11">
        <v>20</v>
      </c>
      <c r="O22" s="12">
        <f t="shared" si="11"/>
        <v>237</v>
      </c>
    </row>
    <row r="23" spans="2:15" ht="24" customHeight="1" x14ac:dyDescent="0.15">
      <c r="B23" s="4" t="s">
        <v>1</v>
      </c>
      <c r="C23" s="4">
        <v>16</v>
      </c>
      <c r="D23" s="4">
        <v>15</v>
      </c>
      <c r="E23" s="4">
        <v>7</v>
      </c>
      <c r="F23" s="4">
        <v>11</v>
      </c>
      <c r="G23" s="4">
        <v>17</v>
      </c>
      <c r="H23" s="4">
        <v>8</v>
      </c>
      <c r="I23" s="4">
        <v>3</v>
      </c>
      <c r="J23" s="4">
        <v>8</v>
      </c>
      <c r="K23" s="4">
        <v>6</v>
      </c>
      <c r="L23" s="4">
        <v>3</v>
      </c>
      <c r="M23" s="3">
        <v>8</v>
      </c>
      <c r="N23" s="3">
        <v>4</v>
      </c>
      <c r="O23" s="12">
        <f t="shared" si="11"/>
        <v>106</v>
      </c>
    </row>
    <row r="24" spans="2:15" ht="24" customHeight="1" x14ac:dyDescent="0.15">
      <c r="B24" s="4" t="s">
        <v>22</v>
      </c>
      <c r="C24" s="4">
        <v>650</v>
      </c>
      <c r="D24" s="4">
        <v>556</v>
      </c>
      <c r="E24" s="4">
        <v>555</v>
      </c>
      <c r="F24" s="4">
        <v>568</v>
      </c>
      <c r="G24" s="4">
        <v>509</v>
      </c>
      <c r="H24" s="4">
        <v>459</v>
      </c>
      <c r="I24" s="4">
        <v>512</v>
      </c>
      <c r="J24" s="4">
        <v>468</v>
      </c>
      <c r="K24" s="4">
        <v>428</v>
      </c>
      <c r="L24" s="4">
        <v>510</v>
      </c>
      <c r="M24" s="3">
        <v>417</v>
      </c>
      <c r="N24" s="3">
        <v>373</v>
      </c>
      <c r="O24" s="12">
        <f t="shared" si="11"/>
        <v>6005</v>
      </c>
    </row>
    <row r="25" spans="2:15" ht="24" customHeight="1" x14ac:dyDescent="0.15">
      <c r="B25" s="4" t="s">
        <v>0</v>
      </c>
      <c r="C25" s="4">
        <v>79</v>
      </c>
      <c r="D25" s="4">
        <v>81</v>
      </c>
      <c r="E25" s="4">
        <v>64</v>
      </c>
      <c r="F25" s="4">
        <v>52</v>
      </c>
      <c r="G25" s="4">
        <v>79</v>
      </c>
      <c r="H25" s="4">
        <v>70</v>
      </c>
      <c r="I25" s="4">
        <v>46</v>
      </c>
      <c r="J25" s="4">
        <v>26</v>
      </c>
      <c r="K25" s="4">
        <v>32</v>
      </c>
      <c r="L25" s="4">
        <v>30</v>
      </c>
      <c r="M25" s="3">
        <v>38</v>
      </c>
      <c r="N25" s="3">
        <v>40</v>
      </c>
      <c r="O25" s="12">
        <f>SUM(C25:N25)+O16</f>
        <v>2265</v>
      </c>
    </row>
    <row r="26" spans="2:15" ht="18.75" customHeight="1" x14ac:dyDescent="0.15">
      <c r="E26" s="10"/>
      <c r="F26" s="10"/>
      <c r="G26" s="10"/>
      <c r="H26" s="10"/>
      <c r="K26" s="10"/>
      <c r="L26" s="10"/>
      <c r="M26" s="10"/>
      <c r="N26" s="10" t="s">
        <v>24</v>
      </c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88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zoomScaleNormal="100" workbookViewId="0">
      <selection activeCell="O55" sqref="O55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20</v>
      </c>
      <c r="D1" s="7" t="s">
        <v>14</v>
      </c>
      <c r="E1" s="7" t="s">
        <v>9</v>
      </c>
      <c r="F1" s="7" t="s">
        <v>11</v>
      </c>
      <c r="G1" s="7" t="s">
        <v>12</v>
      </c>
      <c r="H1" s="7" t="s">
        <v>19</v>
      </c>
      <c r="I1" s="7" t="s">
        <v>10</v>
      </c>
      <c r="J1" s="7" t="s">
        <v>8</v>
      </c>
      <c r="K1" s="7" t="s">
        <v>15</v>
      </c>
      <c r="L1" s="7" t="s">
        <v>7</v>
      </c>
      <c r="M1" s="7" t="s">
        <v>6</v>
      </c>
      <c r="N1" s="7" t="s">
        <v>5</v>
      </c>
      <c r="O1" s="6" t="s">
        <v>4</v>
      </c>
    </row>
    <row r="2" spans="2:15" x14ac:dyDescent="0.15">
      <c r="B2" s="4" t="s">
        <v>3</v>
      </c>
      <c r="C2" s="4">
        <f>C9</f>
        <v>37</v>
      </c>
      <c r="D2" s="4">
        <f t="shared" ref="D2:N2" si="0">D9</f>
        <v>170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207</v>
      </c>
    </row>
    <row r="3" spans="2:15" x14ac:dyDescent="0.15">
      <c r="B3" s="4" t="s">
        <v>2</v>
      </c>
      <c r="C3" s="4">
        <f t="shared" ref="C3:N3" si="1">C10</f>
        <v>30</v>
      </c>
      <c r="D3" s="4">
        <f t="shared" si="1"/>
        <v>101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131</v>
      </c>
    </row>
    <row r="4" spans="2:15" x14ac:dyDescent="0.15">
      <c r="B4" s="4" t="s">
        <v>1</v>
      </c>
      <c r="C4" s="4">
        <f t="shared" ref="C4:N5" si="3">C12</f>
        <v>26</v>
      </c>
      <c r="D4" s="4">
        <f t="shared" si="3"/>
        <v>18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2">
        <f t="shared" si="2"/>
        <v>44</v>
      </c>
    </row>
    <row r="5" spans="2:15" x14ac:dyDescent="0.15">
      <c r="B5" s="4" t="s">
        <v>0</v>
      </c>
      <c r="C5" s="4">
        <f t="shared" si="3"/>
        <v>233</v>
      </c>
      <c r="D5" s="4">
        <f t="shared" si="3"/>
        <v>221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2">
        <f t="shared" si="2"/>
        <v>454</v>
      </c>
    </row>
    <row r="6" spans="2:15" s="8" customFormat="1" ht="12" customHeight="1" x14ac:dyDescent="0.15">
      <c r="E6" s="9"/>
    </row>
    <row r="7" spans="2:15" x14ac:dyDescent="0.15">
      <c r="B7" s="1" t="s">
        <v>17</v>
      </c>
    </row>
    <row r="8" spans="2:15" x14ac:dyDescent="0.15">
      <c r="B8" s="7"/>
      <c r="C8" s="7" t="s">
        <v>18</v>
      </c>
      <c r="D8" s="7" t="s">
        <v>14</v>
      </c>
      <c r="E8" s="7" t="s">
        <v>9</v>
      </c>
      <c r="F8" s="7" t="s">
        <v>11</v>
      </c>
      <c r="G8" s="7" t="s">
        <v>12</v>
      </c>
      <c r="H8" s="7" t="s">
        <v>19</v>
      </c>
      <c r="I8" s="7" t="s">
        <v>10</v>
      </c>
      <c r="J8" s="7" t="s">
        <v>8</v>
      </c>
      <c r="K8" s="7" t="s">
        <v>13</v>
      </c>
      <c r="L8" s="7" t="s">
        <v>7</v>
      </c>
      <c r="M8" s="7" t="s">
        <v>6</v>
      </c>
      <c r="N8" s="7" t="s">
        <v>5</v>
      </c>
      <c r="O8" s="6" t="s">
        <v>4</v>
      </c>
    </row>
    <row r="9" spans="2:15" x14ac:dyDescent="0.15">
      <c r="B9" s="4" t="s">
        <v>3</v>
      </c>
      <c r="C9" s="4">
        <v>37</v>
      </c>
      <c r="D9" s="4">
        <v>170</v>
      </c>
      <c r="E9" s="4"/>
      <c r="F9" s="4"/>
      <c r="G9" s="4"/>
      <c r="H9" s="4"/>
      <c r="I9" s="4"/>
      <c r="J9" s="4"/>
      <c r="K9" s="4"/>
      <c r="L9" s="4"/>
      <c r="M9" s="3"/>
      <c r="N9" s="11"/>
      <c r="O9" s="2">
        <f>SUM(C9:N9)</f>
        <v>207</v>
      </c>
    </row>
    <row r="10" spans="2:15" x14ac:dyDescent="0.15">
      <c r="B10" s="4" t="s">
        <v>2</v>
      </c>
      <c r="C10" s="4">
        <v>30</v>
      </c>
      <c r="D10" s="4">
        <v>101</v>
      </c>
      <c r="E10" s="4"/>
      <c r="F10" s="4"/>
      <c r="G10" s="4"/>
      <c r="H10" s="4"/>
      <c r="I10" s="4"/>
      <c r="J10" s="4"/>
      <c r="K10" s="4"/>
      <c r="L10" s="4"/>
      <c r="M10" s="3"/>
      <c r="N10" s="11"/>
      <c r="O10" s="2">
        <f>SUM(C10:N10)</f>
        <v>131</v>
      </c>
    </row>
    <row r="11" spans="2:15" x14ac:dyDescent="0.15">
      <c r="B11" s="4" t="s">
        <v>16</v>
      </c>
      <c r="C11" s="4">
        <v>2</v>
      </c>
      <c r="D11" s="4">
        <v>6</v>
      </c>
      <c r="E11" s="4"/>
      <c r="F11" s="4"/>
      <c r="G11" s="4"/>
      <c r="H11" s="4"/>
      <c r="I11" s="4"/>
      <c r="J11" s="4"/>
      <c r="K11" s="4"/>
      <c r="L11" s="4"/>
      <c r="M11" s="3"/>
      <c r="N11" s="11"/>
      <c r="O11" s="2">
        <f>SUM(C11:N11)</f>
        <v>8</v>
      </c>
    </row>
    <row r="12" spans="2:15" x14ac:dyDescent="0.15">
      <c r="B12" s="4" t="s">
        <v>1</v>
      </c>
      <c r="C12" s="4">
        <v>26</v>
      </c>
      <c r="D12" s="4">
        <v>18</v>
      </c>
      <c r="E12" s="4"/>
      <c r="F12" s="4"/>
      <c r="G12" s="4"/>
      <c r="H12" s="4"/>
      <c r="I12" s="4"/>
      <c r="J12" s="4"/>
      <c r="K12" s="4"/>
      <c r="L12" s="4"/>
      <c r="M12" s="3"/>
      <c r="N12" s="3"/>
      <c r="O12" s="2">
        <f>SUM(C12:N12)</f>
        <v>44</v>
      </c>
    </row>
    <row r="13" spans="2:15" x14ac:dyDescent="0.15">
      <c r="B13" s="4" t="s">
        <v>0</v>
      </c>
      <c r="C13" s="4">
        <v>233</v>
      </c>
      <c r="D13" s="4">
        <v>221</v>
      </c>
      <c r="E13" s="4"/>
      <c r="F13" s="4"/>
      <c r="G13" s="4"/>
      <c r="H13" s="4"/>
      <c r="I13" s="4"/>
      <c r="J13" s="4"/>
      <c r="K13" s="4"/>
      <c r="L13" s="4"/>
      <c r="M13" s="3"/>
      <c r="N13" s="3"/>
      <c r="O13" s="2">
        <f>SUM(C13:N13)</f>
        <v>454</v>
      </c>
    </row>
    <row r="14" spans="2:15" x14ac:dyDescent="0.15">
      <c r="D14" s="10" t="s">
        <v>21</v>
      </c>
      <c r="E14" s="10"/>
      <c r="F14" s="10"/>
      <c r="G14" s="10"/>
      <c r="H14" s="10"/>
      <c r="K14" s="10"/>
      <c r="L14" s="10"/>
      <c r="M14" s="10"/>
      <c r="N14" s="10"/>
    </row>
    <row r="15" spans="2:15" ht="4.5" customHeight="1" x14ac:dyDescent="0.15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すぱざわ</vt:lpstr>
      <vt:lpstr>すぱざわ (2)</vt:lpstr>
      <vt:lpstr>すぱざわ!Print_Area</vt:lpstr>
      <vt:lpstr>'すぱざわ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2024-07-27T07:48:16Z</cp:lastPrinted>
  <dcterms:created xsi:type="dcterms:W3CDTF">2018-10-31T01:38:43Z</dcterms:created>
  <dcterms:modified xsi:type="dcterms:W3CDTF">2026-04-27T01:47:40Z</dcterms:modified>
</cp:coreProperties>
</file>